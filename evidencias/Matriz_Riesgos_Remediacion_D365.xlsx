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velas\Documents\"/>
    </mc:Choice>
  </mc:AlternateContent>
  <xr:revisionPtr revIDLastSave="0" documentId="13_ncr:1_{EEA1C186-1DC5-4884-8996-2637BE27A31E}" xr6:coauthVersionLast="47" xr6:coauthVersionMax="47" xr10:uidLastSave="{00000000-0000-0000-0000-000000000000}"/>
  <bookViews>
    <workbookView xWindow="-108" yWindow="-108" windowWidth="23256" windowHeight="12456" tabRatio="750" xr2:uid="{00000000-000D-0000-FFFF-FFFF00000000}"/>
  </bookViews>
  <sheets>
    <sheet name="Parametros" sheetId="1" r:id="rId1"/>
    <sheet name="Matriz_Riesgos" sheetId="2" r:id="rId2"/>
    <sheet name="Mapa_Calor" sheetId="3" r:id="rId3"/>
    <sheet name="Ranking" sheetId="4" r:id="rId4"/>
    <sheet name="Remediacion" sheetId="5" r:id="rId5"/>
    <sheet name="Roadmap" sheetId="6" r:id="rId6"/>
  </sheets>
  <definedNames>
    <definedName name="_xlnm._FilterDatabase" localSheetId="1" hidden="1">Matriz_Riesgos!$A$3:$R$34</definedName>
    <definedName name="_xlnm._FilterDatabase" localSheetId="4" hidden="1">Remediacion!$A$5:$J$36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7" i="6" l="1"/>
  <c r="A7" i="6"/>
  <c r="B6" i="6"/>
  <c r="A6" i="6"/>
  <c r="B5" i="6"/>
  <c r="A5" i="6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B9" i="3" s="1"/>
  <c r="N34" i="2"/>
  <c r="O34" i="2" s="1"/>
  <c r="I34" i="2"/>
  <c r="H34" i="2"/>
  <c r="J34" i="2" s="1"/>
  <c r="N33" i="2"/>
  <c r="O33" i="2" s="1"/>
  <c r="I33" i="2"/>
  <c r="H33" i="2"/>
  <c r="J33" i="2" s="1"/>
  <c r="N32" i="2"/>
  <c r="O32" i="2" s="1"/>
  <c r="I32" i="2"/>
  <c r="H32" i="2"/>
  <c r="N31" i="2"/>
  <c r="O31" i="2" s="1"/>
  <c r="I31" i="2"/>
  <c r="H31" i="2"/>
  <c r="J31" i="2" s="1"/>
  <c r="N30" i="2"/>
  <c r="O30" i="2" s="1"/>
  <c r="I30" i="2"/>
  <c r="H30" i="2"/>
  <c r="N29" i="2"/>
  <c r="O29" i="2" s="1"/>
  <c r="I29" i="2"/>
  <c r="H29" i="2"/>
  <c r="J29" i="2" s="1"/>
  <c r="N28" i="2"/>
  <c r="O28" i="2" s="1"/>
  <c r="I28" i="2"/>
  <c r="H28" i="2"/>
  <c r="J28" i="2" s="1"/>
  <c r="N27" i="2"/>
  <c r="O27" i="2" s="1"/>
  <c r="I27" i="2"/>
  <c r="H27" i="2"/>
  <c r="J27" i="2" s="1"/>
  <c r="N26" i="2"/>
  <c r="O26" i="2" s="1"/>
  <c r="I26" i="2"/>
  <c r="H26" i="2"/>
  <c r="N25" i="2"/>
  <c r="O25" i="2" s="1"/>
  <c r="I25" i="2"/>
  <c r="H25" i="2"/>
  <c r="J25" i="2" s="1"/>
  <c r="N24" i="2"/>
  <c r="O24" i="2" s="1"/>
  <c r="I24" i="2"/>
  <c r="H24" i="2"/>
  <c r="J24" i="2" s="1"/>
  <c r="N23" i="2"/>
  <c r="O23" i="2" s="1"/>
  <c r="I23" i="2"/>
  <c r="H23" i="2"/>
  <c r="J23" i="2" s="1"/>
  <c r="N22" i="2"/>
  <c r="O22" i="2" s="1"/>
  <c r="I22" i="2"/>
  <c r="H22" i="2"/>
  <c r="J22" i="2" s="1"/>
  <c r="N21" i="2"/>
  <c r="O21" i="2" s="1"/>
  <c r="I21" i="2"/>
  <c r="H21" i="2"/>
  <c r="J21" i="2" s="1"/>
  <c r="N20" i="2"/>
  <c r="O20" i="2" s="1"/>
  <c r="I20" i="2"/>
  <c r="H20" i="2"/>
  <c r="J20" i="2" s="1"/>
  <c r="N19" i="2"/>
  <c r="O19" i="2" s="1"/>
  <c r="I19" i="2"/>
  <c r="H19" i="2"/>
  <c r="J19" i="2" s="1"/>
  <c r="N18" i="2"/>
  <c r="O18" i="2" s="1"/>
  <c r="I18" i="2"/>
  <c r="H18" i="2"/>
  <c r="J18" i="2" s="1"/>
  <c r="N17" i="2"/>
  <c r="O17" i="2" s="1"/>
  <c r="I17" i="2"/>
  <c r="H17" i="2"/>
  <c r="J17" i="2" s="1"/>
  <c r="N16" i="2"/>
  <c r="O16" i="2" s="1"/>
  <c r="I16" i="2"/>
  <c r="H16" i="2"/>
  <c r="N15" i="2"/>
  <c r="O15" i="2" s="1"/>
  <c r="I15" i="2"/>
  <c r="H15" i="2"/>
  <c r="N14" i="2"/>
  <c r="O14" i="2" s="1"/>
  <c r="I14" i="2"/>
  <c r="H14" i="2"/>
  <c r="J14" i="2" s="1"/>
  <c r="N13" i="2"/>
  <c r="O13" i="2" s="1"/>
  <c r="I13" i="2"/>
  <c r="H13" i="2"/>
  <c r="J13" i="2" s="1"/>
  <c r="N12" i="2"/>
  <c r="O12" i="2" s="1"/>
  <c r="I12" i="2"/>
  <c r="H12" i="2"/>
  <c r="N11" i="2"/>
  <c r="O11" i="2" s="1"/>
  <c r="I11" i="2"/>
  <c r="H11" i="2"/>
  <c r="J11" i="2" s="1"/>
  <c r="N10" i="2"/>
  <c r="O10" i="2" s="1"/>
  <c r="I10" i="2"/>
  <c r="H10" i="2"/>
  <c r="N9" i="2"/>
  <c r="O9" i="2" s="1"/>
  <c r="I9" i="2"/>
  <c r="H9" i="2"/>
  <c r="N8" i="2"/>
  <c r="O8" i="2" s="1"/>
  <c r="I8" i="2"/>
  <c r="H8" i="2"/>
  <c r="J8" i="2" s="1"/>
  <c r="N7" i="2"/>
  <c r="O7" i="2" s="1"/>
  <c r="I7" i="2"/>
  <c r="H7" i="2"/>
  <c r="N6" i="2"/>
  <c r="O6" i="2" s="1"/>
  <c r="I6" i="2"/>
  <c r="H6" i="2"/>
  <c r="N5" i="2"/>
  <c r="O5" i="2" s="1"/>
  <c r="I5" i="2"/>
  <c r="H5" i="2"/>
  <c r="J5" i="2" s="1"/>
  <c r="N4" i="2"/>
  <c r="O4" i="2" s="1"/>
  <c r="I4" i="2"/>
  <c r="H4" i="2"/>
  <c r="J4" i="2" s="1"/>
  <c r="J10" i="2" l="1"/>
  <c r="J6" i="2"/>
  <c r="J26" i="2"/>
  <c r="J16" i="2"/>
  <c r="J9" i="2"/>
  <c r="J7" i="2"/>
  <c r="J12" i="2"/>
  <c r="J30" i="2"/>
  <c r="J32" i="2"/>
  <c r="J15" i="2"/>
  <c r="K15" i="2" s="1"/>
  <c r="C22" i="5" s="1"/>
  <c r="B18" i="3"/>
  <c r="K34" i="2"/>
  <c r="C28" i="5" s="1"/>
  <c r="Q34" i="2"/>
  <c r="D28" i="5"/>
  <c r="K33" i="2"/>
  <c r="C30" i="5" s="1"/>
  <c r="Q33" i="2"/>
  <c r="D30" i="5"/>
  <c r="K32" i="2"/>
  <c r="C34" i="5" s="1"/>
  <c r="D34" i="5"/>
  <c r="Q32" i="2"/>
  <c r="D24" i="5"/>
  <c r="K31" i="2"/>
  <c r="C24" i="5" s="1"/>
  <c r="Q31" i="2"/>
  <c r="K30" i="2"/>
  <c r="C27" i="5" s="1"/>
  <c r="D27" i="5"/>
  <c r="Q30" i="2"/>
  <c r="K29" i="2"/>
  <c r="C17" i="5" s="1"/>
  <c r="Q29" i="2"/>
  <c r="D17" i="5"/>
  <c r="K28" i="2"/>
  <c r="C11" i="5" s="1"/>
  <c r="Q28" i="2"/>
  <c r="D11" i="5"/>
  <c r="K27" i="2"/>
  <c r="C15" i="5" s="1"/>
  <c r="Q27" i="2"/>
  <c r="D15" i="5"/>
  <c r="Q26" i="2"/>
  <c r="K26" i="2"/>
  <c r="C14" i="5" s="1"/>
  <c r="D14" i="5"/>
  <c r="Q25" i="2"/>
  <c r="K25" i="2"/>
  <c r="C13" i="5" s="1"/>
  <c r="D13" i="5"/>
  <c r="K24" i="2"/>
  <c r="C36" i="5" s="1"/>
  <c r="Q24" i="2"/>
  <c r="D36" i="5"/>
  <c r="D33" i="5"/>
  <c r="K23" i="2"/>
  <c r="C33" i="5" s="1"/>
  <c r="Q23" i="2"/>
  <c r="Q22" i="2"/>
  <c r="D29" i="5"/>
  <c r="K22" i="2"/>
  <c r="C29" i="5" s="1"/>
  <c r="Q21" i="2"/>
  <c r="K21" i="2"/>
  <c r="C26" i="5" s="1"/>
  <c r="D26" i="5"/>
  <c r="K20" i="2"/>
  <c r="C35" i="5" s="1"/>
  <c r="D35" i="5"/>
  <c r="Q20" i="2"/>
  <c r="D25" i="5"/>
  <c r="Q19" i="2"/>
  <c r="K19" i="2"/>
  <c r="C25" i="5" s="1"/>
  <c r="K18" i="2"/>
  <c r="C31" i="5" s="1"/>
  <c r="Q18" i="2"/>
  <c r="D31" i="5"/>
  <c r="K17" i="2"/>
  <c r="C18" i="5" s="1"/>
  <c r="Q17" i="2"/>
  <c r="D18" i="5"/>
  <c r="K16" i="2"/>
  <c r="C23" i="5" s="1"/>
  <c r="Q16" i="2"/>
  <c r="D23" i="5"/>
  <c r="D22" i="5"/>
  <c r="Q15" i="2"/>
  <c r="Q14" i="2"/>
  <c r="D16" i="5"/>
  <c r="K14" i="2"/>
  <c r="C16" i="5" s="1"/>
  <c r="K13" i="2"/>
  <c r="C10" i="5" s="1"/>
  <c r="D10" i="5"/>
  <c r="Q13" i="2"/>
  <c r="K12" i="2"/>
  <c r="C19" i="5" s="1"/>
  <c r="Q12" i="2"/>
  <c r="D19" i="5"/>
  <c r="D32" i="5"/>
  <c r="Q11" i="2"/>
  <c r="K11" i="2"/>
  <c r="C32" i="5" s="1"/>
  <c r="K10" i="2"/>
  <c r="C21" i="5" s="1"/>
  <c r="D21" i="5"/>
  <c r="Q10" i="2"/>
  <c r="Q9" i="2"/>
  <c r="D20" i="5"/>
  <c r="K9" i="2"/>
  <c r="C20" i="5" s="1"/>
  <c r="K8" i="2"/>
  <c r="C8" i="5" s="1"/>
  <c r="Q8" i="2"/>
  <c r="D8" i="5"/>
  <c r="K6" i="2"/>
  <c r="C7" i="5" s="1"/>
  <c r="Q6" i="2"/>
  <c r="D7" i="5"/>
  <c r="K5" i="2"/>
  <c r="C9" i="5" s="1"/>
  <c r="Q5" i="2"/>
  <c r="D9" i="5"/>
  <c r="Q4" i="2"/>
  <c r="D6" i="5"/>
  <c r="K4" i="2"/>
  <c r="C6" i="5" s="1"/>
  <c r="K7" i="2" l="1"/>
  <c r="C12" i="5" s="1"/>
  <c r="E5" i="6" s="1"/>
  <c r="E8" i="6" s="1"/>
  <c r="Q7" i="2"/>
  <c r="D12" i="5"/>
  <c r="R4" i="2"/>
  <c r="B5" i="4" s="1"/>
  <c r="J6" i="5"/>
  <c r="R32" i="2"/>
  <c r="J34" i="5" s="1"/>
  <c r="F6" i="6"/>
  <c r="E6" i="6"/>
  <c r="D6" i="6"/>
  <c r="C6" i="6"/>
  <c r="F7" i="6"/>
  <c r="E7" i="6"/>
  <c r="D7" i="6"/>
  <c r="C7" i="6"/>
  <c r="F5" i="6"/>
  <c r="F8" i="6" s="1"/>
  <c r="D5" i="6"/>
  <c r="C5" i="6"/>
  <c r="R14" i="2" l="1"/>
  <c r="J16" i="5" s="1"/>
  <c r="R6" i="2"/>
  <c r="J7" i="5" s="1"/>
  <c r="R34" i="2"/>
  <c r="J28" i="5" s="1"/>
  <c r="R33" i="2"/>
  <c r="J30" i="5" s="1"/>
  <c r="R29" i="2"/>
  <c r="J17" i="5" s="1"/>
  <c r="R31" i="2"/>
  <c r="J24" i="5" s="1"/>
  <c r="R27" i="2"/>
  <c r="J15" i="5" s="1"/>
  <c r="R21" i="2"/>
  <c r="J26" i="5" s="1"/>
  <c r="R26" i="2"/>
  <c r="J14" i="5" s="1"/>
  <c r="R25" i="2"/>
  <c r="J13" i="5" s="1"/>
  <c r="R19" i="2"/>
  <c r="J25" i="5" s="1"/>
  <c r="R17" i="2"/>
  <c r="J18" i="5" s="1"/>
  <c r="R24" i="2"/>
  <c r="J36" i="5" s="1"/>
  <c r="R23" i="2"/>
  <c r="J33" i="5" s="1"/>
  <c r="R28" i="2"/>
  <c r="J11" i="5" s="1"/>
  <c r="R30" i="2"/>
  <c r="J27" i="5" s="1"/>
  <c r="R22" i="2"/>
  <c r="J29" i="5" s="1"/>
  <c r="R20" i="2"/>
  <c r="J35" i="5" s="1"/>
  <c r="R18" i="2"/>
  <c r="J31" i="5" s="1"/>
  <c r="R16" i="2"/>
  <c r="J23" i="5" s="1"/>
  <c r="R15" i="2"/>
  <c r="J22" i="5" s="1"/>
  <c r="R13" i="2"/>
  <c r="J10" i="5" s="1"/>
  <c r="R11" i="2"/>
  <c r="J32" i="5" s="1"/>
  <c r="R12" i="2"/>
  <c r="J19" i="5" s="1"/>
  <c r="R10" i="2"/>
  <c r="J21" i="5" s="1"/>
  <c r="R9" i="2"/>
  <c r="J20" i="5" s="1"/>
  <c r="R8" i="2"/>
  <c r="J8" i="5" s="1"/>
  <c r="R7" i="2"/>
  <c r="J12" i="5" s="1"/>
  <c r="R5" i="2"/>
  <c r="G7" i="6"/>
  <c r="C5" i="4"/>
  <c r="D5" i="4"/>
  <c r="E5" i="4"/>
  <c r="F5" i="4"/>
  <c r="G5" i="4"/>
  <c r="C8" i="6"/>
  <c r="G5" i="6"/>
  <c r="G6" i="6"/>
  <c r="D8" i="6"/>
  <c r="B6" i="4" l="1"/>
  <c r="B7" i="4"/>
  <c r="B14" i="4"/>
  <c r="B13" i="4"/>
  <c r="B17" i="4"/>
  <c r="B9" i="4"/>
  <c r="B22" i="4"/>
  <c r="B27" i="4"/>
  <c r="B32" i="4"/>
  <c r="B33" i="4"/>
  <c r="B30" i="4"/>
  <c r="B34" i="4"/>
  <c r="J9" i="5"/>
  <c r="B8" i="4"/>
  <c r="B10" i="4"/>
  <c r="B16" i="4"/>
  <c r="B19" i="4"/>
  <c r="B20" i="4"/>
  <c r="B23" i="4"/>
  <c r="B26" i="4"/>
  <c r="B29" i="4"/>
  <c r="B24" i="4"/>
  <c r="B31" i="4"/>
  <c r="B11" i="4"/>
  <c r="B12" i="4"/>
  <c r="B15" i="4"/>
  <c r="B18" i="4"/>
  <c r="B21" i="4"/>
  <c r="B25" i="4"/>
  <c r="B28" i="4"/>
  <c r="B35" i="4"/>
  <c r="G6" i="4"/>
  <c r="F6" i="4"/>
  <c r="E6" i="4"/>
  <c r="D6" i="4"/>
  <c r="C6" i="4"/>
  <c r="G7" i="4"/>
  <c r="F7" i="4"/>
  <c r="E7" i="4"/>
  <c r="D7" i="4"/>
  <c r="C7" i="4"/>
  <c r="G8" i="4"/>
  <c r="F8" i="4"/>
  <c r="E8" i="4"/>
  <c r="D8" i="4"/>
  <c r="C8" i="4"/>
  <c r="G14" i="4"/>
  <c r="F14" i="4"/>
  <c r="E14" i="4"/>
  <c r="D14" i="4"/>
  <c r="C14" i="4"/>
  <c r="F10" i="4"/>
  <c r="D10" i="4"/>
  <c r="G10" i="4"/>
  <c r="E10" i="4"/>
  <c r="C10" i="4"/>
  <c r="G8" i="6"/>
  <c r="E13" i="4" l="1"/>
  <c r="G13" i="4"/>
  <c r="F13" i="4"/>
  <c r="D13" i="4"/>
  <c r="C13" i="4"/>
  <c r="C17" i="4"/>
  <c r="D17" i="4"/>
  <c r="E17" i="4"/>
  <c r="F17" i="4"/>
  <c r="G17" i="4"/>
  <c r="C9" i="4"/>
  <c r="D9" i="4"/>
  <c r="G9" i="4"/>
  <c r="E9" i="4"/>
  <c r="F9" i="4"/>
  <c r="F22" i="4"/>
  <c r="G22" i="4"/>
  <c r="E22" i="4"/>
  <c r="D22" i="4"/>
  <c r="C22" i="4"/>
  <c r="E27" i="4"/>
  <c r="D27" i="4"/>
  <c r="F27" i="4"/>
  <c r="C27" i="4"/>
  <c r="G27" i="4"/>
  <c r="G32" i="4"/>
  <c r="F32" i="4"/>
  <c r="C32" i="4"/>
  <c r="E32" i="4"/>
  <c r="D32" i="4"/>
  <c r="C33" i="4"/>
  <c r="D33" i="4"/>
  <c r="E33" i="4"/>
  <c r="G33" i="4"/>
  <c r="F33" i="4"/>
  <c r="F30" i="4"/>
  <c r="G30" i="4"/>
  <c r="D30" i="4"/>
  <c r="C30" i="4"/>
  <c r="E30" i="4"/>
  <c r="E34" i="4"/>
  <c r="D34" i="4"/>
  <c r="C34" i="4"/>
  <c r="F34" i="4"/>
  <c r="G34" i="4"/>
  <c r="F16" i="4"/>
  <c r="D16" i="4"/>
  <c r="C16" i="4"/>
  <c r="E16" i="4"/>
  <c r="G16" i="4"/>
  <c r="G19" i="4"/>
  <c r="E19" i="4"/>
  <c r="D19" i="4"/>
  <c r="C19" i="4"/>
  <c r="F19" i="4"/>
  <c r="C20" i="4"/>
  <c r="G20" i="4"/>
  <c r="F20" i="4"/>
  <c r="E20" i="4"/>
  <c r="D20" i="4"/>
  <c r="D23" i="4"/>
  <c r="C23" i="4"/>
  <c r="E23" i="4"/>
  <c r="F23" i="4"/>
  <c r="G23" i="4"/>
  <c r="C26" i="4"/>
  <c r="F26" i="4"/>
  <c r="D26" i="4"/>
  <c r="E26" i="4"/>
  <c r="G26" i="4"/>
  <c r="G29" i="4"/>
  <c r="F29" i="4"/>
  <c r="E29" i="4"/>
  <c r="D29" i="4"/>
  <c r="C29" i="4"/>
  <c r="C24" i="4"/>
  <c r="E24" i="4"/>
  <c r="D24" i="4"/>
  <c r="G24" i="4"/>
  <c r="F24" i="4"/>
  <c r="F31" i="4"/>
  <c r="E31" i="4"/>
  <c r="D31" i="4"/>
  <c r="C31" i="4"/>
  <c r="G31" i="4"/>
  <c r="G11" i="4"/>
  <c r="D11" i="4"/>
  <c r="E11" i="4"/>
  <c r="C11" i="4"/>
  <c r="F11" i="4"/>
  <c r="C12" i="4"/>
  <c r="D12" i="4"/>
  <c r="E12" i="4"/>
  <c r="G12" i="4"/>
  <c r="F12" i="4"/>
  <c r="F15" i="4"/>
  <c r="G15" i="4"/>
  <c r="D15" i="4"/>
  <c r="C15" i="4"/>
  <c r="E15" i="4"/>
  <c r="F18" i="4"/>
  <c r="E18" i="4"/>
  <c r="D18" i="4"/>
  <c r="C18" i="4"/>
  <c r="G18" i="4"/>
  <c r="C21" i="4"/>
  <c r="D21" i="4"/>
  <c r="F21" i="4"/>
  <c r="G21" i="4"/>
  <c r="E21" i="4"/>
  <c r="D25" i="4"/>
  <c r="E25" i="4"/>
  <c r="G25" i="4"/>
  <c r="F25" i="4"/>
  <c r="C25" i="4"/>
  <c r="G28" i="4"/>
  <c r="F28" i="4"/>
  <c r="E28" i="4"/>
  <c r="D28" i="4"/>
  <c r="C28" i="4"/>
  <c r="G35" i="4"/>
  <c r="E35" i="4"/>
  <c r="D35" i="4"/>
  <c r="C35" i="4"/>
  <c r="F35" i="4"/>
</calcChain>
</file>

<file path=xl/sharedStrings.xml><?xml version="1.0" encoding="utf-8"?>
<sst xmlns="http://schemas.openxmlformats.org/spreadsheetml/2006/main" count="585" uniqueCount="212">
  <si>
    <t>Parámetros y criterios de valoración</t>
  </si>
  <si>
    <t>Impacto</t>
  </si>
  <si>
    <t>Valor</t>
  </si>
  <si>
    <t>Descripción</t>
  </si>
  <si>
    <t>Crítico</t>
  </si>
  <si>
    <t>Fraude o pérdida financiera significativa, compromiso total del sistema o incumplimiento regulatorio grave.</t>
  </si>
  <si>
    <t>Alto</t>
  </si>
  <si>
    <t>Afectación importante de datos o procesos financieros; recuperable con esfuerzo considerable.</t>
  </si>
  <si>
    <t>Medio</t>
  </si>
  <si>
    <t>Afectación limitada o parcial de un proceso de negocio.</t>
  </si>
  <si>
    <t>Bajo</t>
  </si>
  <si>
    <t>Efecto menor, sin impacto financiero relevante.</t>
  </si>
  <si>
    <t>Probabilidad</t>
  </si>
  <si>
    <t>Muy Alta</t>
  </si>
  <si>
    <t>Ocurre o se espera con casi total certeza en 12 meses (ataques comunes y automatizados).</t>
  </si>
  <si>
    <t>Alta</t>
  </si>
  <si>
    <t>Probable en los próximos 12 meses.</t>
  </si>
  <si>
    <t>Media</t>
  </si>
  <si>
    <t>Posible; requiere condiciones o habilidades moderadas.</t>
  </si>
  <si>
    <t>Baja</t>
  </si>
  <si>
    <t>Poco probable; requiere condiciones excepcionales.</t>
  </si>
  <si>
    <t>Nivel de riesgo</t>
  </si>
  <si>
    <t>Puntaje mínimo</t>
  </si>
  <si>
    <t>Regla</t>
  </si>
  <si>
    <t>Alto x Alta = 9 o más (coincide con la tabla del enunciado).</t>
  </si>
  <si>
    <t>Alto x Media = 6 (coincide con la tabla del enunciado).</t>
  </si>
  <si>
    <t>Medio x Medio = 4 (coincide con la tabla del enunciado).</t>
  </si>
  <si>
    <t>Bajo x Bajo = 1 (coincide con la tabla del enunciado).</t>
  </si>
  <si>
    <t>Horizonte</t>
  </si>
  <si>
    <t>Fecha límite</t>
  </si>
  <si>
    <t>Corto plazo (0-3 meses)</t>
  </si>
  <si>
    <t>Fecha límite supuesta a partir del 2026-10-08 (inicio del plan). Ajustar al calendario real.</t>
  </si>
  <si>
    <t>Mediano plazo (3-6 meses)</t>
  </si>
  <si>
    <t>Largo plazo (6-12 meses)</t>
  </si>
  <si>
    <t>Matriz de riesgos - Modelo de amenazas D365 F&amp;O</t>
  </si>
  <si>
    <t>ID</t>
  </si>
  <si>
    <t>Diagrama</t>
  </si>
  <si>
    <t>Elemento</t>
  </si>
  <si>
    <t>STRIDE</t>
  </si>
  <si>
    <t>Amenaza</t>
  </si>
  <si>
    <t>Valor impacto</t>
  </si>
  <si>
    <t>Valor prob.</t>
  </si>
  <si>
    <t>Puntaje</t>
  </si>
  <si>
    <t>Impacto residual</t>
  </si>
  <si>
    <t>Puntaje residual</t>
  </si>
  <si>
    <t>Riesgo residual</t>
  </si>
  <si>
    <t>Desempate</t>
  </si>
  <si>
    <t>Puntaje de orden</t>
  </si>
  <si>
    <t>Ranking</t>
  </si>
  <si>
    <t>T01</t>
  </si>
  <si>
    <t>L1</t>
  </si>
  <si>
    <t>P01 Microsoft Entra ID</t>
  </si>
  <si>
    <t>Spoofing</t>
  </si>
  <si>
    <t>Suplantación de usuarios financieros por phishing/AiTM y fatiga de MFA</t>
  </si>
  <si>
    <t>T02</t>
  </si>
  <si>
    <t>EE04 Proveedor externo</t>
  </si>
  <si>
    <t>Suplantación de proveedor externo en el portal de colaboración</t>
  </si>
  <si>
    <t>T03</t>
  </si>
  <si>
    <t>P02 D365 F&amp;O - Finanzas</t>
  </si>
  <si>
    <t>Elevation of Privilege</t>
  </si>
  <si>
    <t>Violación de segregación de funciones por acumulación de roles</t>
  </si>
  <si>
    <t>T04</t>
  </si>
  <si>
    <t>Compromiso de cuenta administrativa con privilegios permanentes</t>
  </si>
  <si>
    <t>T05</t>
  </si>
  <si>
    <t>P03 D365 F&amp;O - Compras</t>
  </si>
  <si>
    <t>Tampering</t>
  </si>
  <si>
    <t>Alteración de datos maestros de proveedores (cuenta bancaria)</t>
  </si>
  <si>
    <t>T06</t>
  </si>
  <si>
    <t>F1-07 Transacciones contables y pagos</t>
  </si>
  <si>
    <t>Manipulación de transacciones en tránsito o desde un navegador comprometido</t>
  </si>
  <si>
    <t>T07</t>
  </si>
  <si>
    <t>Repudiation</t>
  </si>
  <si>
    <t>Negación de aprobaciones y pagos por trazabilidad insuficiente</t>
  </si>
  <si>
    <t>T08</t>
  </si>
  <si>
    <t>EE03 Administrador D365</t>
  </si>
  <si>
    <t>Cambios administrativos sin atribución clara</t>
  </si>
  <si>
    <t>T09</t>
  </si>
  <si>
    <t>DS01 Base de datos de D365</t>
  </si>
  <si>
    <t>Information Disclosure</t>
  </si>
  <si>
    <t>Exposición de datos financieros y de proveedores por permisos excesivos y exportaciones</t>
  </si>
  <si>
    <t>T10</t>
  </si>
  <si>
    <t>P05 Power BI Service</t>
  </si>
  <si>
    <t>Fuga de datos financieros mediante Power BI</t>
  </si>
  <si>
    <t>T11</t>
  </si>
  <si>
    <t>DS02 Azure Key Vault</t>
  </si>
  <si>
    <t>Exposición de certificados y credenciales bancarias en Key Vault</t>
  </si>
  <si>
    <t>T12</t>
  </si>
  <si>
    <t>Denial of Service</t>
  </si>
  <si>
    <t>Indisponibilidad de D365 durante cierres contables</t>
  </si>
  <si>
    <t>T13</t>
  </si>
  <si>
    <t>P04 Integración bancaria</t>
  </si>
  <si>
    <t>Interrupción de la integración bancaria</t>
  </si>
  <si>
    <t>T14</t>
  </si>
  <si>
    <t>Identidad de servicio (app registration) sobre-privilegiada o con secreto expuesto en OData</t>
  </si>
  <si>
    <t>T15</t>
  </si>
  <si>
    <t>F1-10 Confirmaciones de OC y facturas</t>
  </si>
  <si>
    <t>Interceptación de datos en tránsito desde proveedores en Internet</t>
  </si>
  <si>
    <t>T16</t>
  </si>
  <si>
    <t>Abuso o fuerza bruta contra el portal de proveedores</t>
  </si>
  <si>
    <t>T17</t>
  </si>
  <si>
    <t>DS04 Modelo semántico Power BI</t>
  </si>
  <si>
    <t>Alteración del modelo semántico que distorsiona reportes financieros</t>
  </si>
  <si>
    <t>T18</t>
  </si>
  <si>
    <t>DS03 Log Analytics / SIEM</t>
  </si>
  <si>
    <t>Exposición de datos sensibles en logs</t>
  </si>
  <si>
    <t>T19</t>
  </si>
  <si>
    <t>Manipulación o borrado de logs para ocultar actividad fraudulenta</t>
  </si>
  <si>
    <t>T20</t>
  </si>
  <si>
    <t>Pérdida o corrupción de datos sin recuperación oportuna</t>
  </si>
  <si>
    <t>T21</t>
  </si>
  <si>
    <t>EE05 Analista BI</t>
  </si>
  <si>
    <t>El analista BI niega haber exportado o compartido informes</t>
  </si>
  <si>
    <t>T22</t>
  </si>
  <si>
    <t>L2</t>
  </si>
  <si>
    <t>F2-02 Lote de pago aprobado (OData)</t>
  </si>
  <si>
    <t>Alteración del lote de pago aprobado (beneficiario, monto o cuenta)</t>
  </si>
  <si>
    <t>T23</t>
  </si>
  <si>
    <t>P04.2 Azure Service Bus</t>
  </si>
  <si>
    <t>Inyección de mensajes de pago falsos en Service Bus</t>
  </si>
  <si>
    <t>T24</t>
  </si>
  <si>
    <t>P04.1 Azure Logic Apps (orquestador)</t>
  </si>
  <si>
    <t>Invocación no autorizada del flujo de Logic Apps</t>
  </si>
  <si>
    <t>T25</t>
  </si>
  <si>
    <t>P04.3 Conector bancario (firma y cifrado)</t>
  </si>
  <si>
    <t>Exposición de datos de pago en el historial de ejecución</t>
  </si>
  <si>
    <t>T26</t>
  </si>
  <si>
    <t>Uso indebido de la clave de firma por una identidad no autorizada</t>
  </si>
  <si>
    <t>T27</t>
  </si>
  <si>
    <t>EE06 Banco</t>
  </si>
  <si>
    <t>Suplantación del endpoint del banco en el canal de transmisión</t>
  </si>
  <si>
    <t>T28</t>
  </si>
  <si>
    <t>EE07 Aprobador de pagos (Tesorería)</t>
  </si>
  <si>
    <t>El aprobador niega haber autorizado un lote de pago</t>
  </si>
  <si>
    <t>T29</t>
  </si>
  <si>
    <t>DS05 Almacenamiento temporal (Blob)</t>
  </si>
  <si>
    <t>Alteración de extractos bancarios en el almacenamiento temporal</t>
  </si>
  <si>
    <t>T30</t>
  </si>
  <si>
    <t>P04.4 Procesador de extractos y conciliación</t>
  </si>
  <si>
    <t>Reglas de conciliación débiles permiten ocultar pagos fraudulentos</t>
  </si>
  <si>
    <t>T31</t>
  </si>
  <si>
    <t>Agotamiento de límites de ejecución por reintentos masivos</t>
  </si>
  <si>
    <t>Mapa de calor - cantidad de amenazas por Impacto x Probabilidad</t>
  </si>
  <si>
    <t>Riesgo inherente (antes de controles)</t>
  </si>
  <si>
    <t>Impacto \ Probabilidad</t>
  </si>
  <si>
    <t>Total</t>
  </si>
  <si>
    <t>Riesgo residual (después de controles recomendados)</t>
  </si>
  <si>
    <t>Ranking de amenazas (ordenado automáticamente por puntaje)</t>
  </si>
  <si>
    <t>Pos.</t>
  </si>
  <si>
    <t>Nivel</t>
  </si>
  <si>
    <t>Top 10</t>
  </si>
  <si>
    <t>Matriz de remediación</t>
  </si>
  <si>
    <t>Responsable, acción, horizonte, fecha y estado (azul) son editables. Severidad y puntaje se traen de Matriz_Riesgos.</t>
  </si>
  <si>
    <t>Riesgo identificado</t>
  </si>
  <si>
    <t>Severidad</t>
  </si>
  <si>
    <t>Responsable (rol)</t>
  </si>
  <si>
    <t>Acción correctiva / de mitigación</t>
  </si>
  <si>
    <t>Fecha objetivo</t>
  </si>
  <si>
    <t>Estado</t>
  </si>
  <si>
    <t>Líder de Identidad (Entra ID)</t>
  </si>
  <si>
    <t>MFA resistente a phishing (FIDO2/passkeys, number matching); acceso condicional (dispositivo conforme, ubicación, riesgo de sesión); protección de tokens; capacitación anti-phishing.</t>
  </si>
  <si>
    <t>Pendiente</t>
  </si>
  <si>
    <t>Contralor / Líder de Finanzas</t>
  </si>
  <si>
    <t>Reglas de segregación de funciones (SoD) en D365; rol mínimo necesario; revisiones trimestrales de acceso; aprobación por workflow.</t>
  </si>
  <si>
    <t>Líder de Compras</t>
  </si>
  <si>
    <t>Workflow de aprobación para cambios en datos maestros; doble control; verificación por llamada a un contacto conocido; restricción de roles de mantenimiento de proveedores.</t>
  </si>
  <si>
    <t>Cuentas invitadas (Entra B2B) con MFA obligatorio; verificación fuera de banda para cambios de datos bancarios; revisión periódica de cuentas externas.</t>
  </si>
  <si>
    <t>Líder de BI</t>
  </si>
  <si>
    <t>Deshabilitar 'Publicar en la web'; seguridad a nivel de fila (RLS); etiquetas de sensibilidad; permisos de workspace mínimos; gobierno de compartición.</t>
  </si>
  <si>
    <t>Equipo de Integración</t>
  </si>
  <si>
    <t>Activar entradas y salidas seguras (secure inputs/outputs); RBAC restringido al historial; enmascaramiento; retención mínima.</t>
  </si>
  <si>
    <t>Privileged Identity Management (acceso justo a tiempo); cuentas administrativas separadas; estaciones de trabajo privilegiadas; cuentas de emergencia protegidas y monitoreadas.</t>
  </si>
  <si>
    <t>Tesorería / Equipo de Integración</t>
  </si>
  <si>
    <t>Hash o firma del lote en origen y verificación en el conector; TLS; comparación de totales de control; mínimo privilegio sobre Logic Apps.</t>
  </si>
  <si>
    <t>Autenticación con Entra ID/RBAC sin SAS; private endpoints; deshabilitar acceso público; validar origen y firma del mensaje.</t>
  </si>
  <si>
    <t>Autenticación con Entra ID (OAuth) en el desencadenador; restricción de IP de entrada; API Management; tratar las URL del trigger como secretos.</t>
  </si>
  <si>
    <t>Equipo de Infraestructura Cloud</t>
  </si>
  <si>
    <t>RBAC de menor privilegio; identidades administradas en lugar de secretos; private endpoints; purge protection y rotación de secretos.</t>
  </si>
  <si>
    <t>Permisos de firma solo para la identidad del conector; claves no exportables (HSM / Key Vault Premium); aprobación para cambios de acceso.</t>
  </si>
  <si>
    <t>Autenticación con certificado o identidad administrada; permisos mínimos en D365 para la aplicación; restricción por IP/red; API Management con límites de tasa.</t>
  </si>
  <si>
    <t>Oficial de Protección de Datos / CISO</t>
  </si>
  <si>
    <t>Seguridad por roles de menor privilegio; restricciones de exportación; etiquetas de sensibilidad y DLP (Microsoft Purview); enmascaramiento de campos sensibles donde aplique.</t>
  </si>
  <si>
    <t>Líder de Seguridad de Endpoints</t>
  </si>
  <si>
    <t>TLS 1.2+ obligatorio; dispositivos administrados y conformes; validaciones de negocio y límites de aprobación; endurecimiento del navegador.</t>
  </si>
  <si>
    <t>Auditoría Interna / Contraloría</t>
  </si>
  <si>
    <t>Cuentas nominales (sin cuentas compartidas); database logging en tablas críticas; aprobaciones con registro de usuario y fecha; retención de logs según política.</t>
  </si>
  <si>
    <t>Arquitecto D365</t>
  </si>
  <si>
    <t>Gestión de límites y priorización de integraciones (throttling); programación de lotes fuera de horarios pico; plan de continuidad con procedimientos manuales.</t>
  </si>
  <si>
    <t>Monitoreo de vencimiento de certificados; colas con reintentos y DLQ; redundancia y runbooks de contingencia (carga manual segura en banca en línea).</t>
  </si>
  <si>
    <t>Tesorería</t>
  </si>
  <si>
    <t>Aprobación con identidad nominal y MFA; registro inmutable de aprobación vinculado al hash del lote; flujo de doble aprobación.</t>
  </si>
  <si>
    <t>Bloqueo inteligente (smart lockout); límites de tasa; acceso condicional; listas de IP permitidas para integraciones.</t>
  </si>
  <si>
    <t>Equipo SOC / Monitoreo</t>
  </si>
  <si>
    <t>Enmascaramiento de datos sensibles en logs; RBAC mínimo en Log Analytics; política de retención.</t>
  </si>
  <si>
    <t>mTLS con validación del certificado del banco; fijación de certificados (pinning); endpoints fijos y verificados.</t>
  </si>
  <si>
    <t>Políticas de reintento con backoff; límites de concurrencia; alertas de capacidad.</t>
  </si>
  <si>
    <t>Reenvío inmediato al SIEM; almacenamiento inmutable; roles de logs separados de los administradores de la aplicación; retención mínima definida.</t>
  </si>
  <si>
    <t>Contraloría</t>
  </si>
  <si>
    <t>Reglas de coincidencia estrictas (monto, fecha, beneficiario); revisión manual de excepciones; SoD entre quien paga y quien concilia.</t>
  </si>
  <si>
    <t>CISO</t>
  </si>
  <si>
    <t>TLS 1.2+ (gestionado por el servicio); HSTS; acceso condicional para externos; guía de seguridad para proveedores.</t>
  </si>
  <si>
    <t>Gestión de cambios con aprobación; PIM con justificación; registro de actividad administrativa.</t>
  </si>
  <si>
    <t>Copias y restauración gestionadas por Microsoft; pruebas de recuperación; validaciones previas a importaciones masivas; entornos de prueba.</t>
  </si>
  <si>
    <t>Almacenamiento inmutable (WORM); hash del archivo recibido; private endpoint; acceso mínimo.</t>
  </si>
  <si>
    <t>Control de versiones y despliegue controlado; permisos de edición restringidos.</t>
  </si>
  <si>
    <t>Habilitar registros de actividad de Power BI; cuentas nominales.</t>
  </si>
  <si>
    <t>Roadmap de mejoras (0-12 meses)</t>
  </si>
  <si>
    <t>Enfoque</t>
  </si>
  <si>
    <t>Cerrar las rutas de fraude directo: MFA resistente a phishing y acceso condicional, PIM para administradores, SoD y aprobación de datos maestros, endurecimiento de Logic Apps / Service Bus / Key Vault, integridad del lote de pago y gobierno de Power BI.</t>
  </si>
  <si>
    <t>Visibilidad y resiliencia: logging centralizado y SIEM con alertas, database logging en tablas críticas, DLP y etiquetas de sensibilidad, límites de tasa en APIs, reglas estrictas de conciliación, plan de continuidad y revisiones de acceso.</t>
  </si>
  <si>
    <t>Madurez y mejora continua: pruebas de recuperación, almacenamiento inmutable, hardening continuo, cuentas externas bajo revisión periódica y actualización del modelo de amenazas en cada cambio relevante (SSDLC).</t>
  </si>
  <si>
    <t xml:space="preserve">Modelo de amenazas D365 F&amp;O - Riesgo = Impacto x Probabilidad. </t>
  </si>
  <si>
    <t>Prob. Residual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</si>
</sst>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00"/>
  </numFmts>
  <fonts count="12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color rgb="FF008000"/>
      <name val="Arial"/>
      <charset val="1"/>
    </font>
    <font>
      <b/>
      <sz val="12"/>
      <color rgb="FF000000"/>
      <name val="Arial"/>
      <charset val="1"/>
    </font>
    <font>
      <b/>
      <sz val="12"/>
      <color rgb="FFFFFFFF"/>
      <name val="Arial"/>
      <charset val="1"/>
    </font>
    <font>
      <b/>
      <sz val="10"/>
      <color rgb="FF008000"/>
      <name val="Arial"/>
      <charset val="1"/>
    </font>
    <font>
      <sz val="10"/>
      <name val="Arial"/>
      <family val="2"/>
    </font>
    <font>
      <sz val="11"/>
      <name val="Calibri"/>
      <family val="2"/>
      <charset val="1"/>
    </font>
    <font>
      <b/>
      <sz val="10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E699"/>
        <bgColor rgb="FFFFFFCC"/>
      </patternFill>
    </fill>
    <fill>
      <patternFill patternType="solid">
        <fgColor rgb="FFF4B084"/>
        <bgColor rgb="FFFF99CC"/>
      </patternFill>
    </fill>
    <fill>
      <patternFill patternType="solid">
        <fgColor rgb="FFC00000"/>
        <bgColor rgb="FF800000"/>
      </patternFill>
    </fill>
    <fill>
      <patternFill patternType="solid">
        <fgColor rgb="FFC6E0B4"/>
        <bgColor rgb="FFCCFFCC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4" fillId="0" borderId="0" xfId="0" applyFont="1"/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top" wrapText="1"/>
    </xf>
    <xf numFmtId="164" fontId="5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vertical="top" wrapText="1"/>
    </xf>
    <xf numFmtId="0" fontId="9" fillId="0" borderId="1" xfId="0" applyFont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 wrapText="1"/>
    </xf>
    <xf numFmtId="0" fontId="9" fillId="0" borderId="0" xfId="0" applyFont="1"/>
    <xf numFmtId="0" fontId="10" fillId="0" borderId="0" xfId="0" applyFont="1"/>
    <xf numFmtId="0" fontId="1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6"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4B084"/>
        </patternFill>
      </fill>
    </dxf>
    <dxf>
      <font>
        <b/>
        <color rgb="FFFFFFFF"/>
        <name val="Arial"/>
        <charset val="1"/>
      </font>
      <fill>
        <patternFill>
          <bgColor rgb="FFC00000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4B084"/>
        </patternFill>
      </fill>
    </dxf>
    <dxf>
      <font>
        <b/>
        <color rgb="FFFFFFFF"/>
        <name val="Arial"/>
        <charset val="1"/>
      </font>
      <fill>
        <patternFill>
          <bgColor rgb="FFC00000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4B084"/>
        </patternFill>
      </fill>
    </dxf>
    <dxf>
      <font>
        <b/>
        <color rgb="FFFFFFFF"/>
        <name val="Arial"/>
        <charset val="1"/>
      </font>
      <fill>
        <patternFill>
          <bgColor rgb="FFC00000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4B084"/>
        </patternFill>
      </fill>
    </dxf>
    <dxf>
      <font>
        <b/>
        <color rgb="FFFFFFFF"/>
        <name val="Arial"/>
        <charset val="1"/>
      </font>
      <fill>
        <patternFill>
          <bgColor rgb="FFC0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4B084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zoomScaleNormal="100" workbookViewId="0">
      <selection activeCell="E10" sqref="E10"/>
    </sheetView>
  </sheetViews>
  <sheetFormatPr baseColWidth="10" defaultColWidth="8.6640625" defaultRowHeight="14.4" x14ac:dyDescent="0.3"/>
  <cols>
    <col min="1" max="1" width="26.44140625" customWidth="1"/>
    <col min="2" max="2" width="16" style="23" customWidth="1"/>
    <col min="3" max="3" width="95" customWidth="1"/>
  </cols>
  <sheetData>
    <row r="1" spans="1:3" ht="17.399999999999999" x14ac:dyDescent="0.3">
      <c r="A1" s="1" t="s">
        <v>0</v>
      </c>
    </row>
    <row r="2" spans="1:3" x14ac:dyDescent="0.3">
      <c r="A2" s="22" t="s">
        <v>210</v>
      </c>
    </row>
    <row r="4" spans="1:3" x14ac:dyDescent="0.3">
      <c r="A4" s="3" t="s">
        <v>1</v>
      </c>
      <c r="B4" s="24" t="s">
        <v>2</v>
      </c>
      <c r="C4" s="3" t="s">
        <v>3</v>
      </c>
    </row>
    <row r="5" spans="1:3" x14ac:dyDescent="0.3">
      <c r="A5" s="4" t="s">
        <v>4</v>
      </c>
      <c r="B5" s="20">
        <v>4</v>
      </c>
      <c r="C5" s="5" t="s">
        <v>5</v>
      </c>
    </row>
    <row r="6" spans="1:3" x14ac:dyDescent="0.3">
      <c r="A6" s="4" t="s">
        <v>6</v>
      </c>
      <c r="B6" s="20">
        <v>3</v>
      </c>
      <c r="C6" s="5" t="s">
        <v>7</v>
      </c>
    </row>
    <row r="7" spans="1:3" x14ac:dyDescent="0.3">
      <c r="A7" s="4" t="s">
        <v>8</v>
      </c>
      <c r="B7" s="20">
        <v>2</v>
      </c>
      <c r="C7" s="5" t="s">
        <v>9</v>
      </c>
    </row>
    <row r="8" spans="1:3" x14ac:dyDescent="0.3">
      <c r="A8" s="4" t="s">
        <v>10</v>
      </c>
      <c r="B8" s="20">
        <v>1</v>
      </c>
      <c r="C8" s="5" t="s">
        <v>11</v>
      </c>
    </row>
    <row r="10" spans="1:3" x14ac:dyDescent="0.3">
      <c r="A10" s="3" t="s">
        <v>12</v>
      </c>
      <c r="B10" s="24" t="s">
        <v>2</v>
      </c>
      <c r="C10" s="3" t="s">
        <v>3</v>
      </c>
    </row>
    <row r="11" spans="1:3" x14ac:dyDescent="0.3">
      <c r="A11" s="4" t="s">
        <v>13</v>
      </c>
      <c r="B11" s="20">
        <v>4</v>
      </c>
      <c r="C11" s="5" t="s">
        <v>14</v>
      </c>
    </row>
    <row r="12" spans="1:3" x14ac:dyDescent="0.3">
      <c r="A12" s="4" t="s">
        <v>15</v>
      </c>
      <c r="B12" s="20">
        <v>3</v>
      </c>
      <c r="C12" s="5" t="s">
        <v>16</v>
      </c>
    </row>
    <row r="13" spans="1:3" x14ac:dyDescent="0.3">
      <c r="A13" s="4" t="s">
        <v>17</v>
      </c>
      <c r="B13" s="20">
        <v>2</v>
      </c>
      <c r="C13" s="5" t="s">
        <v>18</v>
      </c>
    </row>
    <row r="14" spans="1:3" x14ac:dyDescent="0.3">
      <c r="A14" s="4" t="s">
        <v>19</v>
      </c>
      <c r="B14" s="20">
        <v>1</v>
      </c>
      <c r="C14" s="5" t="s">
        <v>20</v>
      </c>
    </row>
    <row r="16" spans="1:3" x14ac:dyDescent="0.3">
      <c r="A16" s="3" t="s">
        <v>21</v>
      </c>
      <c r="B16" s="24" t="s">
        <v>22</v>
      </c>
      <c r="C16" s="3" t="s">
        <v>23</v>
      </c>
    </row>
    <row r="17" spans="1:3" x14ac:dyDescent="0.3">
      <c r="A17" s="4" t="s">
        <v>4</v>
      </c>
      <c r="B17" s="20">
        <v>9</v>
      </c>
      <c r="C17" s="5" t="s">
        <v>24</v>
      </c>
    </row>
    <row r="18" spans="1:3" x14ac:dyDescent="0.3">
      <c r="A18" s="4" t="s">
        <v>6</v>
      </c>
      <c r="B18" s="20">
        <v>6</v>
      </c>
      <c r="C18" s="5" t="s">
        <v>25</v>
      </c>
    </row>
    <row r="19" spans="1:3" x14ac:dyDescent="0.3">
      <c r="A19" s="4" t="s">
        <v>8</v>
      </c>
      <c r="B19" s="20">
        <v>3</v>
      </c>
      <c r="C19" s="5" t="s">
        <v>26</v>
      </c>
    </row>
    <row r="20" spans="1:3" x14ac:dyDescent="0.3">
      <c r="A20" s="4" t="s">
        <v>10</v>
      </c>
      <c r="B20" s="20">
        <v>0</v>
      </c>
      <c r="C20" s="5" t="s">
        <v>27</v>
      </c>
    </row>
    <row r="22" spans="1:3" x14ac:dyDescent="0.3">
      <c r="A22" s="3" t="s">
        <v>28</v>
      </c>
      <c r="B22" s="24" t="s">
        <v>29</v>
      </c>
      <c r="C22" s="3" t="s">
        <v>3</v>
      </c>
    </row>
    <row r="23" spans="1:3" ht="26.4" x14ac:dyDescent="0.3">
      <c r="A23" s="4" t="s">
        <v>30</v>
      </c>
      <c r="B23" s="21">
        <v>46395</v>
      </c>
      <c r="C23" s="5" t="s">
        <v>31</v>
      </c>
    </row>
    <row r="24" spans="1:3" ht="26.4" x14ac:dyDescent="0.3">
      <c r="A24" s="4" t="s">
        <v>32</v>
      </c>
      <c r="B24" s="21">
        <v>46485</v>
      </c>
      <c r="C24" s="5" t="s">
        <v>31</v>
      </c>
    </row>
    <row r="25" spans="1:3" ht="26.4" x14ac:dyDescent="0.3">
      <c r="A25" s="4" t="s">
        <v>33</v>
      </c>
      <c r="B25" s="21">
        <v>46668</v>
      </c>
      <c r="C25" s="5" t="s">
        <v>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4"/>
  <sheetViews>
    <sheetView zoomScaleNormal="100" workbookViewId="0">
      <pane xSplit="5" ySplit="3" topLeftCell="F4" activePane="bottomRight" state="frozen"/>
      <selection pane="topRight" activeCell="F1" sqref="F1"/>
      <selection pane="bottomLeft" activeCell="A6" sqref="A6"/>
      <selection pane="bottomRight" activeCell="A4" sqref="A4"/>
    </sheetView>
  </sheetViews>
  <sheetFormatPr baseColWidth="10" defaultColWidth="8.6640625" defaultRowHeight="14.4" x14ac:dyDescent="0.3"/>
  <cols>
    <col min="1" max="1" width="7" customWidth="1"/>
    <col min="2" max="2" width="9" customWidth="1"/>
    <col min="3" max="3" width="34" customWidth="1"/>
    <col min="4" max="4" width="20" customWidth="1"/>
    <col min="5" max="5" width="62" customWidth="1"/>
    <col min="6" max="6" width="11" customWidth="1"/>
    <col min="7" max="7" width="13" customWidth="1"/>
    <col min="8" max="10" width="9" customWidth="1"/>
    <col min="11" max="11" width="12" customWidth="1"/>
    <col min="12" max="13" width="12" style="23" customWidth="1"/>
    <col min="14" max="14" width="10" customWidth="1"/>
    <col min="15" max="15" width="12" customWidth="1"/>
    <col min="16" max="16" width="11.33203125" style="23" customWidth="1"/>
    <col min="17" max="17" width="12" customWidth="1"/>
    <col min="18" max="18" width="9" customWidth="1"/>
  </cols>
  <sheetData>
    <row r="1" spans="1:18" ht="17.399999999999999" x14ac:dyDescent="0.3">
      <c r="A1" s="1" t="s">
        <v>34</v>
      </c>
    </row>
    <row r="3" spans="1:18" ht="26.4" x14ac:dyDescent="0.3">
      <c r="A3" s="3" t="s">
        <v>35</v>
      </c>
      <c r="B3" s="3" t="s">
        <v>36</v>
      </c>
      <c r="C3" s="3" t="s">
        <v>37</v>
      </c>
      <c r="D3" s="3" t="s">
        <v>38</v>
      </c>
      <c r="E3" s="3" t="s">
        <v>39</v>
      </c>
      <c r="F3" s="3" t="s">
        <v>1</v>
      </c>
      <c r="G3" s="3" t="s">
        <v>12</v>
      </c>
      <c r="H3" s="3" t="s">
        <v>40</v>
      </c>
      <c r="I3" s="3" t="s">
        <v>41</v>
      </c>
      <c r="J3" s="3" t="s">
        <v>42</v>
      </c>
      <c r="K3" s="3" t="s">
        <v>21</v>
      </c>
      <c r="L3" s="24" t="s">
        <v>43</v>
      </c>
      <c r="M3" s="24" t="s">
        <v>211</v>
      </c>
      <c r="N3" s="3" t="s">
        <v>44</v>
      </c>
      <c r="O3" s="3" t="s">
        <v>45</v>
      </c>
      <c r="P3" s="3" t="s">
        <v>46</v>
      </c>
      <c r="Q3" s="3" t="s">
        <v>47</v>
      </c>
      <c r="R3" s="3" t="s">
        <v>48</v>
      </c>
    </row>
    <row r="4" spans="1:18" x14ac:dyDescent="0.3">
      <c r="A4" s="7" t="s">
        <v>49</v>
      </c>
      <c r="B4" s="8" t="s">
        <v>50</v>
      </c>
      <c r="C4" s="5" t="s">
        <v>51</v>
      </c>
      <c r="D4" s="8" t="s">
        <v>52</v>
      </c>
      <c r="E4" s="5" t="s">
        <v>53</v>
      </c>
      <c r="F4" s="20" t="s">
        <v>4</v>
      </c>
      <c r="G4" s="20" t="s">
        <v>15</v>
      </c>
      <c r="H4" s="9">
        <f>INDEX(Parametros!$B$5:$B$8,MATCH(F4,Parametros!$A$5:$A$8,0))</f>
        <v>4</v>
      </c>
      <c r="I4" s="9">
        <f>INDEX(Parametros!$B$11:$B$14,MATCH(G4,Parametros!$A$11:$A$14,0))</f>
        <v>3</v>
      </c>
      <c r="J4" s="8">
        <f t="shared" ref="J4:J34" si="0">H4*I4</f>
        <v>12</v>
      </c>
      <c r="K4" s="7" t="str">
        <f>IF(J4&gt;=Parametros!$B$17,"Crítico",IF(J4&gt;=Parametros!$B$18,"Alto",IF(J4&gt;=Parametros!$B$19,"Medio","Bajo")))</f>
        <v>Crítico</v>
      </c>
      <c r="L4" s="20" t="s">
        <v>4</v>
      </c>
      <c r="M4" s="20" t="s">
        <v>19</v>
      </c>
      <c r="N4" s="9">
        <f>INDEX(Parametros!$B$5:$B$8,MATCH(L4,Parametros!$A$5:$A$8,0))*INDEX(Parametros!$B$11:$B$14,MATCH(M4,Parametros!$A$11:$A$14,0))</f>
        <v>4</v>
      </c>
      <c r="O4" s="7" t="str">
        <f>IF(N4&gt;=Parametros!$B$17,"Crítico",IF(N4&gt;=Parametros!$B$18,"Alto",IF(N4&gt;=Parametros!$B$19,"Medio","Bajo")))</f>
        <v>Medio</v>
      </c>
      <c r="P4" s="20">
        <v>0</v>
      </c>
      <c r="Q4" s="10">
        <f t="shared" ref="Q4:Q34" si="1">J4+P4*0.5+(1000-ROW())/100000</f>
        <v>12.00996</v>
      </c>
      <c r="R4" s="8">
        <f t="shared" ref="R4:R34" si="2">RANK(Q4,$Q$4:$Q$34,0)</f>
        <v>1</v>
      </c>
    </row>
    <row r="5" spans="1:18" x14ac:dyDescent="0.3">
      <c r="A5" s="7" t="s">
        <v>54</v>
      </c>
      <c r="B5" s="8" t="s">
        <v>50</v>
      </c>
      <c r="C5" s="5" t="s">
        <v>55</v>
      </c>
      <c r="D5" s="8" t="s">
        <v>52</v>
      </c>
      <c r="E5" s="5" t="s">
        <v>56</v>
      </c>
      <c r="F5" s="20" t="s">
        <v>6</v>
      </c>
      <c r="G5" s="20" t="s">
        <v>15</v>
      </c>
      <c r="H5" s="9">
        <f>INDEX(Parametros!$B$5:$B$8,MATCH(F5,Parametros!$A$5:$A$8,0))</f>
        <v>3</v>
      </c>
      <c r="I5" s="9">
        <f>INDEX(Parametros!$B$11:$B$14,MATCH(G5,Parametros!$A$11:$A$14,0))</f>
        <v>3</v>
      </c>
      <c r="J5" s="8">
        <f t="shared" si="0"/>
        <v>9</v>
      </c>
      <c r="K5" s="7" t="str">
        <f>IF(J5&gt;=Parametros!$B$17,"Crítico",IF(J5&gt;=Parametros!$B$18,"Alto",IF(J5&gt;=Parametros!$B$19,"Medio","Bajo")))</f>
        <v>Crítico</v>
      </c>
      <c r="L5" s="20" t="s">
        <v>6</v>
      </c>
      <c r="M5" s="20" t="s">
        <v>19</v>
      </c>
      <c r="N5" s="9">
        <f>INDEX(Parametros!$B$5:$B$8,MATCH(L5,Parametros!$A$5:$A$8,0))*INDEX(Parametros!$B$11:$B$14,MATCH(M5,Parametros!$A$11:$A$14,0))</f>
        <v>3</v>
      </c>
      <c r="O5" s="7" t="str">
        <f>IF(N5&gt;=Parametros!$B$17,"Crítico",IF(N5&gt;=Parametros!$B$18,"Alto",IF(N5&gt;=Parametros!$B$19,"Medio","Bajo")))</f>
        <v>Medio</v>
      </c>
      <c r="P5" s="20">
        <v>0</v>
      </c>
      <c r="Q5" s="10">
        <f t="shared" si="1"/>
        <v>9.0099499999999999</v>
      </c>
      <c r="R5" s="8">
        <f t="shared" si="2"/>
        <v>4</v>
      </c>
    </row>
    <row r="6" spans="1:18" x14ac:dyDescent="0.3">
      <c r="A6" s="7" t="s">
        <v>57</v>
      </c>
      <c r="B6" s="8" t="s">
        <v>50</v>
      </c>
      <c r="C6" s="5" t="s">
        <v>58</v>
      </c>
      <c r="D6" s="8" t="s">
        <v>59</v>
      </c>
      <c r="E6" s="5" t="s">
        <v>60</v>
      </c>
      <c r="F6" s="20" t="s">
        <v>4</v>
      </c>
      <c r="G6" s="20" t="s">
        <v>15</v>
      </c>
      <c r="H6" s="9">
        <f>INDEX(Parametros!$B$5:$B$8,MATCH(F6,Parametros!$A$5:$A$8,0))</f>
        <v>4</v>
      </c>
      <c r="I6" s="9">
        <f>INDEX(Parametros!$B$11:$B$14,MATCH(G6,Parametros!$A$11:$A$14,0))</f>
        <v>3</v>
      </c>
      <c r="J6" s="8">
        <f t="shared" si="0"/>
        <v>12</v>
      </c>
      <c r="K6" s="7" t="str">
        <f>IF(J6&gt;=Parametros!$B$17,"Crítico",IF(J6&gt;=Parametros!$B$18,"Alto",IF(J6&gt;=Parametros!$B$19,"Medio","Bajo")))</f>
        <v>Crítico</v>
      </c>
      <c r="L6" s="20" t="s">
        <v>6</v>
      </c>
      <c r="M6" s="20" t="s">
        <v>19</v>
      </c>
      <c r="N6" s="9">
        <f>INDEX(Parametros!$B$5:$B$8,MATCH(L6,Parametros!$A$5:$A$8,0))*INDEX(Parametros!$B$11:$B$14,MATCH(M6,Parametros!$A$11:$A$14,0))</f>
        <v>3</v>
      </c>
      <c r="O6" s="7" t="str">
        <f>IF(N6&gt;=Parametros!$B$17,"Crítico",IF(N6&gt;=Parametros!$B$18,"Alto",IF(N6&gt;=Parametros!$B$19,"Medio","Bajo")))</f>
        <v>Medio</v>
      </c>
      <c r="P6" s="20">
        <v>0</v>
      </c>
      <c r="Q6" s="10">
        <f t="shared" si="1"/>
        <v>12.00994</v>
      </c>
      <c r="R6" s="8">
        <f t="shared" si="2"/>
        <v>2</v>
      </c>
    </row>
    <row r="7" spans="1:18" x14ac:dyDescent="0.3">
      <c r="A7" s="7" t="s">
        <v>61</v>
      </c>
      <c r="B7" s="8" t="s">
        <v>50</v>
      </c>
      <c r="C7" s="5" t="s">
        <v>51</v>
      </c>
      <c r="D7" s="8" t="s">
        <v>59</v>
      </c>
      <c r="E7" s="5" t="s">
        <v>62</v>
      </c>
      <c r="F7" s="20" t="s">
        <v>4</v>
      </c>
      <c r="G7" s="20" t="s">
        <v>17</v>
      </c>
      <c r="H7" s="9">
        <f>INDEX(Parametros!$B$5:$B$8,MATCH(F7,Parametros!$A$5:$A$8,0))</f>
        <v>4</v>
      </c>
      <c r="I7" s="9">
        <f>INDEX(Parametros!$B$11:$B$14,MATCH(G7,Parametros!$A$11:$A$14,0))</f>
        <v>2</v>
      </c>
      <c r="J7" s="8">
        <f t="shared" si="0"/>
        <v>8</v>
      </c>
      <c r="K7" s="7" t="str">
        <f>IF(J7&gt;=Parametros!$B$17,"Crítico",IF(J7&gt;=Parametros!$B$18,"Alto",IF(J7&gt;=Parametros!$B$19,"Medio","Bajo")))</f>
        <v>Alto</v>
      </c>
      <c r="L7" s="20" t="s">
        <v>4</v>
      </c>
      <c r="M7" s="20" t="s">
        <v>19</v>
      </c>
      <c r="N7" s="9">
        <f>INDEX(Parametros!$B$5:$B$8,MATCH(L7,Parametros!$A$5:$A$8,0))*INDEX(Parametros!$B$11:$B$14,MATCH(M7,Parametros!$A$11:$A$14,0))</f>
        <v>4</v>
      </c>
      <c r="O7" s="7" t="str">
        <f>IF(N7&gt;=Parametros!$B$17,"Crítico",IF(N7&gt;=Parametros!$B$18,"Alto",IF(N7&gt;=Parametros!$B$19,"Medio","Bajo")))</f>
        <v>Medio</v>
      </c>
      <c r="P7" s="20">
        <v>1</v>
      </c>
      <c r="Q7" s="10">
        <f t="shared" si="1"/>
        <v>8.5099300000000007</v>
      </c>
      <c r="R7" s="8">
        <f t="shared" si="2"/>
        <v>7</v>
      </c>
    </row>
    <row r="8" spans="1:18" x14ac:dyDescent="0.3">
      <c r="A8" s="7" t="s">
        <v>63</v>
      </c>
      <c r="B8" s="8" t="s">
        <v>50</v>
      </c>
      <c r="C8" s="5" t="s">
        <v>64</v>
      </c>
      <c r="D8" s="8" t="s">
        <v>65</v>
      </c>
      <c r="E8" s="5" t="s">
        <v>66</v>
      </c>
      <c r="F8" s="20" t="s">
        <v>4</v>
      </c>
      <c r="G8" s="20" t="s">
        <v>15</v>
      </c>
      <c r="H8" s="9">
        <f>INDEX(Parametros!$B$5:$B$8,MATCH(F8,Parametros!$A$5:$A$8,0))</f>
        <v>4</v>
      </c>
      <c r="I8" s="9">
        <f>INDEX(Parametros!$B$11:$B$14,MATCH(G8,Parametros!$A$11:$A$14,0))</f>
        <v>3</v>
      </c>
      <c r="J8" s="8">
        <f t="shared" si="0"/>
        <v>12</v>
      </c>
      <c r="K8" s="7" t="str">
        <f>IF(J8&gt;=Parametros!$B$17,"Crítico",IF(J8&gt;=Parametros!$B$18,"Alto",IF(J8&gt;=Parametros!$B$19,"Medio","Bajo")))</f>
        <v>Crítico</v>
      </c>
      <c r="L8" s="20" t="s">
        <v>6</v>
      </c>
      <c r="M8" s="20" t="s">
        <v>19</v>
      </c>
      <c r="N8" s="9">
        <f>INDEX(Parametros!$B$5:$B$8,MATCH(L8,Parametros!$A$5:$A$8,0))*INDEX(Parametros!$B$11:$B$14,MATCH(M8,Parametros!$A$11:$A$14,0))</f>
        <v>3</v>
      </c>
      <c r="O8" s="7" t="str">
        <f>IF(N8&gt;=Parametros!$B$17,"Crítico",IF(N8&gt;=Parametros!$B$18,"Alto",IF(N8&gt;=Parametros!$B$19,"Medio","Bajo")))</f>
        <v>Medio</v>
      </c>
      <c r="P8" s="20">
        <v>0</v>
      </c>
      <c r="Q8" s="10">
        <f t="shared" si="1"/>
        <v>12.009919999999999</v>
      </c>
      <c r="R8" s="8">
        <f t="shared" si="2"/>
        <v>3</v>
      </c>
    </row>
    <row r="9" spans="1:18" ht="26.4" x14ac:dyDescent="0.3">
      <c r="A9" s="7" t="s">
        <v>67</v>
      </c>
      <c r="B9" s="8" t="s">
        <v>50</v>
      </c>
      <c r="C9" s="5" t="s">
        <v>68</v>
      </c>
      <c r="D9" s="8" t="s">
        <v>65</v>
      </c>
      <c r="E9" s="5" t="s">
        <v>69</v>
      </c>
      <c r="F9" s="20" t="s">
        <v>6</v>
      </c>
      <c r="G9" s="20" t="s">
        <v>17</v>
      </c>
      <c r="H9" s="9">
        <f>INDEX(Parametros!$B$5:$B$8,MATCH(F9,Parametros!$A$5:$A$8,0))</f>
        <v>3</v>
      </c>
      <c r="I9" s="9">
        <f>INDEX(Parametros!$B$11:$B$14,MATCH(G9,Parametros!$A$11:$A$14,0))</f>
        <v>2</v>
      </c>
      <c r="J9" s="8">
        <f t="shared" si="0"/>
        <v>6</v>
      </c>
      <c r="K9" s="7" t="str">
        <f>IF(J9&gt;=Parametros!$B$17,"Crítico",IF(J9&gt;=Parametros!$B$18,"Alto",IF(J9&gt;=Parametros!$B$19,"Medio","Bajo")))</f>
        <v>Alto</v>
      </c>
      <c r="L9" s="20" t="s">
        <v>6</v>
      </c>
      <c r="M9" s="20" t="s">
        <v>19</v>
      </c>
      <c r="N9" s="9">
        <f>INDEX(Parametros!$B$5:$B$8,MATCH(L9,Parametros!$A$5:$A$8,0))*INDEX(Parametros!$B$11:$B$14,MATCH(M9,Parametros!$A$11:$A$14,0))</f>
        <v>3</v>
      </c>
      <c r="O9" s="7" t="str">
        <f>IF(N9&gt;=Parametros!$B$17,"Crítico",IF(N9&gt;=Parametros!$B$18,"Alto",IF(N9&gt;=Parametros!$B$19,"Medio","Bajo")))</f>
        <v>Medio</v>
      </c>
      <c r="P9" s="20">
        <v>0</v>
      </c>
      <c r="Q9" s="10">
        <f t="shared" si="1"/>
        <v>6.0099099999999996</v>
      </c>
      <c r="R9" s="8">
        <f t="shared" si="2"/>
        <v>14</v>
      </c>
    </row>
    <row r="10" spans="1:18" x14ac:dyDescent="0.3">
      <c r="A10" s="7" t="s">
        <v>70</v>
      </c>
      <c r="B10" s="8" t="s">
        <v>50</v>
      </c>
      <c r="C10" s="5" t="s">
        <v>58</v>
      </c>
      <c r="D10" s="8" t="s">
        <v>71</v>
      </c>
      <c r="E10" s="5" t="s">
        <v>72</v>
      </c>
      <c r="F10" s="20" t="s">
        <v>6</v>
      </c>
      <c r="G10" s="20" t="s">
        <v>17</v>
      </c>
      <c r="H10" s="9">
        <f>INDEX(Parametros!$B$5:$B$8,MATCH(F10,Parametros!$A$5:$A$8,0))</f>
        <v>3</v>
      </c>
      <c r="I10" s="9">
        <f>INDEX(Parametros!$B$11:$B$14,MATCH(G10,Parametros!$A$11:$A$14,0))</f>
        <v>2</v>
      </c>
      <c r="J10" s="8">
        <f t="shared" si="0"/>
        <v>6</v>
      </c>
      <c r="K10" s="7" t="str">
        <f>IF(J10&gt;=Parametros!$B$17,"Crítico",IF(J10&gt;=Parametros!$B$18,"Alto",IF(J10&gt;=Parametros!$B$19,"Medio","Bajo")))</f>
        <v>Alto</v>
      </c>
      <c r="L10" s="20" t="s">
        <v>8</v>
      </c>
      <c r="M10" s="20" t="s">
        <v>19</v>
      </c>
      <c r="N10" s="9">
        <f>INDEX(Parametros!$B$5:$B$8,MATCH(L10,Parametros!$A$5:$A$8,0))*INDEX(Parametros!$B$11:$B$14,MATCH(M10,Parametros!$A$11:$A$14,0))</f>
        <v>2</v>
      </c>
      <c r="O10" s="7" t="str">
        <f>IF(N10&gt;=Parametros!$B$17,"Crítico",IF(N10&gt;=Parametros!$B$18,"Alto",IF(N10&gt;=Parametros!$B$19,"Medio","Bajo")))</f>
        <v>Bajo</v>
      </c>
      <c r="P10" s="20">
        <v>0</v>
      </c>
      <c r="Q10" s="10">
        <f t="shared" si="1"/>
        <v>6.0099</v>
      </c>
      <c r="R10" s="8">
        <f t="shared" si="2"/>
        <v>15</v>
      </c>
    </row>
    <row r="11" spans="1:18" x14ac:dyDescent="0.3">
      <c r="A11" s="7" t="s">
        <v>73</v>
      </c>
      <c r="B11" s="8" t="s">
        <v>50</v>
      </c>
      <c r="C11" s="5" t="s">
        <v>74</v>
      </c>
      <c r="D11" s="8" t="s">
        <v>71</v>
      </c>
      <c r="E11" s="5" t="s">
        <v>75</v>
      </c>
      <c r="F11" s="20" t="s">
        <v>6</v>
      </c>
      <c r="G11" s="20" t="s">
        <v>19</v>
      </c>
      <c r="H11" s="9">
        <f>INDEX(Parametros!$B$5:$B$8,MATCH(F11,Parametros!$A$5:$A$8,0))</f>
        <v>3</v>
      </c>
      <c r="I11" s="9">
        <f>INDEX(Parametros!$B$11:$B$14,MATCH(G11,Parametros!$A$11:$A$14,0))</f>
        <v>1</v>
      </c>
      <c r="J11" s="8">
        <f t="shared" si="0"/>
        <v>3</v>
      </c>
      <c r="K11" s="7" t="str">
        <f>IF(J11&gt;=Parametros!$B$17,"Crítico",IF(J11&gt;=Parametros!$B$18,"Alto",IF(J11&gt;=Parametros!$B$19,"Medio","Bajo")))</f>
        <v>Medio</v>
      </c>
      <c r="L11" s="20" t="s">
        <v>8</v>
      </c>
      <c r="M11" s="20" t="s">
        <v>19</v>
      </c>
      <c r="N11" s="9">
        <f>INDEX(Parametros!$B$5:$B$8,MATCH(L11,Parametros!$A$5:$A$8,0))*INDEX(Parametros!$B$11:$B$14,MATCH(M11,Parametros!$A$11:$A$14,0))</f>
        <v>2</v>
      </c>
      <c r="O11" s="7" t="str">
        <f>IF(N11&gt;=Parametros!$B$17,"Crítico",IF(N11&gt;=Parametros!$B$18,"Alto",IF(N11&gt;=Parametros!$B$19,"Medio","Bajo")))</f>
        <v>Bajo</v>
      </c>
      <c r="P11" s="20">
        <v>0</v>
      </c>
      <c r="Q11" s="10">
        <f t="shared" si="1"/>
        <v>3.00989</v>
      </c>
      <c r="R11" s="8">
        <f t="shared" si="2"/>
        <v>25</v>
      </c>
    </row>
    <row r="12" spans="1:18" ht="26.4" x14ac:dyDescent="0.3">
      <c r="A12" s="7" t="s">
        <v>76</v>
      </c>
      <c r="B12" s="8" t="s">
        <v>50</v>
      </c>
      <c r="C12" s="5" t="s">
        <v>77</v>
      </c>
      <c r="D12" s="8" t="s">
        <v>78</v>
      </c>
      <c r="E12" s="5" t="s">
        <v>79</v>
      </c>
      <c r="F12" s="20" t="s">
        <v>4</v>
      </c>
      <c r="G12" s="20" t="s">
        <v>17</v>
      </c>
      <c r="H12" s="9">
        <f>INDEX(Parametros!$B$5:$B$8,MATCH(F12,Parametros!$A$5:$A$8,0))</f>
        <v>4</v>
      </c>
      <c r="I12" s="9">
        <f>INDEX(Parametros!$B$11:$B$14,MATCH(G12,Parametros!$A$11:$A$14,0))</f>
        <v>2</v>
      </c>
      <c r="J12" s="8">
        <f t="shared" si="0"/>
        <v>8</v>
      </c>
      <c r="K12" s="7" t="str">
        <f>IF(J12&gt;=Parametros!$B$17,"Crítico",IF(J12&gt;=Parametros!$B$18,"Alto",IF(J12&gt;=Parametros!$B$19,"Medio","Bajo")))</f>
        <v>Alto</v>
      </c>
      <c r="L12" s="20" t="s">
        <v>6</v>
      </c>
      <c r="M12" s="20" t="s">
        <v>19</v>
      </c>
      <c r="N12" s="9">
        <f>INDEX(Parametros!$B$5:$B$8,MATCH(L12,Parametros!$A$5:$A$8,0))*INDEX(Parametros!$B$11:$B$14,MATCH(M12,Parametros!$A$11:$A$14,0))</f>
        <v>3</v>
      </c>
      <c r="O12" s="7" t="str">
        <f>IF(N12&gt;=Parametros!$B$17,"Crítico",IF(N12&gt;=Parametros!$B$18,"Alto",IF(N12&gt;=Parametros!$B$19,"Medio","Bajo")))</f>
        <v>Medio</v>
      </c>
      <c r="P12" s="20">
        <v>0</v>
      </c>
      <c r="Q12" s="10">
        <f t="shared" si="1"/>
        <v>8.0098800000000008</v>
      </c>
      <c r="R12" s="8">
        <f t="shared" si="2"/>
        <v>11</v>
      </c>
    </row>
    <row r="13" spans="1:18" x14ac:dyDescent="0.3">
      <c r="A13" s="7" t="s">
        <v>80</v>
      </c>
      <c r="B13" s="8" t="s">
        <v>50</v>
      </c>
      <c r="C13" s="5" t="s">
        <v>81</v>
      </c>
      <c r="D13" s="8" t="s">
        <v>78</v>
      </c>
      <c r="E13" s="5" t="s">
        <v>82</v>
      </c>
      <c r="F13" s="20" t="s">
        <v>6</v>
      </c>
      <c r="G13" s="20" t="s">
        <v>15</v>
      </c>
      <c r="H13" s="9">
        <f>INDEX(Parametros!$B$5:$B$8,MATCH(F13,Parametros!$A$5:$A$8,0))</f>
        <v>3</v>
      </c>
      <c r="I13" s="9">
        <f>INDEX(Parametros!$B$11:$B$14,MATCH(G13,Parametros!$A$11:$A$14,0))</f>
        <v>3</v>
      </c>
      <c r="J13" s="8">
        <f t="shared" si="0"/>
        <v>9</v>
      </c>
      <c r="K13" s="7" t="str">
        <f>IF(J13&gt;=Parametros!$B$17,"Crítico",IF(J13&gt;=Parametros!$B$18,"Alto",IF(J13&gt;=Parametros!$B$19,"Medio","Bajo")))</f>
        <v>Crítico</v>
      </c>
      <c r="L13" s="20" t="s">
        <v>8</v>
      </c>
      <c r="M13" s="20" t="s">
        <v>19</v>
      </c>
      <c r="N13" s="9">
        <f>INDEX(Parametros!$B$5:$B$8,MATCH(L13,Parametros!$A$5:$A$8,0))*INDEX(Parametros!$B$11:$B$14,MATCH(M13,Parametros!$A$11:$A$14,0))</f>
        <v>2</v>
      </c>
      <c r="O13" s="7" t="str">
        <f>IF(N13&gt;=Parametros!$B$17,"Crítico",IF(N13&gt;=Parametros!$B$18,"Alto",IF(N13&gt;=Parametros!$B$19,"Medio","Bajo")))</f>
        <v>Bajo</v>
      </c>
      <c r="P13" s="20">
        <v>0</v>
      </c>
      <c r="Q13" s="10">
        <f t="shared" si="1"/>
        <v>9.0098699999999994</v>
      </c>
      <c r="R13" s="8">
        <f t="shared" si="2"/>
        <v>5</v>
      </c>
    </row>
    <row r="14" spans="1:18" x14ac:dyDescent="0.3">
      <c r="A14" s="7" t="s">
        <v>83</v>
      </c>
      <c r="B14" s="8" t="s">
        <v>50</v>
      </c>
      <c r="C14" s="5" t="s">
        <v>84</v>
      </c>
      <c r="D14" s="8" t="s">
        <v>78</v>
      </c>
      <c r="E14" s="5" t="s">
        <v>85</v>
      </c>
      <c r="F14" s="20" t="s">
        <v>4</v>
      </c>
      <c r="G14" s="20" t="s">
        <v>17</v>
      </c>
      <c r="H14" s="9">
        <f>INDEX(Parametros!$B$5:$B$8,MATCH(F14,Parametros!$A$5:$A$8,0))</f>
        <v>4</v>
      </c>
      <c r="I14" s="9">
        <f>INDEX(Parametros!$B$11:$B$14,MATCH(G14,Parametros!$A$11:$A$14,0))</f>
        <v>2</v>
      </c>
      <c r="J14" s="8">
        <f t="shared" si="0"/>
        <v>8</v>
      </c>
      <c r="K14" s="7" t="str">
        <f>IF(J14&gt;=Parametros!$B$17,"Crítico",IF(J14&gt;=Parametros!$B$18,"Alto",IF(J14&gt;=Parametros!$B$19,"Medio","Bajo")))</f>
        <v>Alto</v>
      </c>
      <c r="L14" s="20" t="s">
        <v>4</v>
      </c>
      <c r="M14" s="20" t="s">
        <v>19</v>
      </c>
      <c r="N14" s="9">
        <f>INDEX(Parametros!$B$5:$B$8,MATCH(L14,Parametros!$A$5:$A$8,0))*INDEX(Parametros!$B$11:$B$14,MATCH(M14,Parametros!$A$11:$A$14,0))</f>
        <v>4</v>
      </c>
      <c r="O14" s="7" t="str">
        <f>IF(N14&gt;=Parametros!$B$17,"Crítico",IF(N14&gt;=Parametros!$B$18,"Alto",IF(N14&gt;=Parametros!$B$19,"Medio","Bajo")))</f>
        <v>Medio</v>
      </c>
      <c r="P14" s="20">
        <v>0</v>
      </c>
      <c r="Q14" s="10">
        <f t="shared" si="1"/>
        <v>8.0098599999999998</v>
      </c>
      <c r="R14" s="8">
        <f t="shared" si="2"/>
        <v>12</v>
      </c>
    </row>
    <row r="15" spans="1:18" x14ac:dyDescent="0.3">
      <c r="A15" s="7" t="s">
        <v>86</v>
      </c>
      <c r="B15" s="8" t="s">
        <v>50</v>
      </c>
      <c r="C15" s="5" t="s">
        <v>58</v>
      </c>
      <c r="D15" s="8" t="s">
        <v>87</v>
      </c>
      <c r="E15" s="5" t="s">
        <v>88</v>
      </c>
      <c r="F15" s="20" t="s">
        <v>6</v>
      </c>
      <c r="G15" s="20" t="s">
        <v>17</v>
      </c>
      <c r="H15" s="9">
        <f>INDEX(Parametros!$B$5:$B$8,MATCH(F15,Parametros!$A$5:$A$8,0))</f>
        <v>3</v>
      </c>
      <c r="I15" s="9">
        <f>INDEX(Parametros!$B$11:$B$14,MATCH(G15,Parametros!$A$11:$A$14,0))</f>
        <v>2</v>
      </c>
      <c r="J15" s="8">
        <f t="shared" si="0"/>
        <v>6</v>
      </c>
      <c r="K15" s="7" t="str">
        <f>IF(J15&gt;=Parametros!$B$17,"Crítico",IF(J15&gt;=Parametros!$B$18,"Alto",IF(J15&gt;=Parametros!$B$19,"Medio","Bajo")))</f>
        <v>Alto</v>
      </c>
      <c r="L15" s="20" t="s">
        <v>8</v>
      </c>
      <c r="M15" s="20" t="s">
        <v>17</v>
      </c>
      <c r="N15" s="9">
        <f>INDEX(Parametros!$B$5:$B$8,MATCH(L15,Parametros!$A$5:$A$8,0))*INDEX(Parametros!$B$11:$B$14,MATCH(M15,Parametros!$A$11:$A$14,0))</f>
        <v>4</v>
      </c>
      <c r="O15" s="7" t="str">
        <f>IF(N15&gt;=Parametros!$B$17,"Crítico",IF(N15&gt;=Parametros!$B$18,"Alto",IF(N15&gt;=Parametros!$B$19,"Medio","Bajo")))</f>
        <v>Medio</v>
      </c>
      <c r="P15" s="20">
        <v>0</v>
      </c>
      <c r="Q15" s="10">
        <f t="shared" si="1"/>
        <v>6.0098500000000001</v>
      </c>
      <c r="R15" s="8">
        <f t="shared" si="2"/>
        <v>16</v>
      </c>
    </row>
    <row r="16" spans="1:18" x14ac:dyDescent="0.3">
      <c r="A16" s="7" t="s">
        <v>89</v>
      </c>
      <c r="B16" s="8" t="s">
        <v>50</v>
      </c>
      <c r="C16" s="5" t="s">
        <v>90</v>
      </c>
      <c r="D16" s="8" t="s">
        <v>87</v>
      </c>
      <c r="E16" s="5" t="s">
        <v>91</v>
      </c>
      <c r="F16" s="20" t="s">
        <v>6</v>
      </c>
      <c r="G16" s="20" t="s">
        <v>17</v>
      </c>
      <c r="H16" s="9">
        <f>INDEX(Parametros!$B$5:$B$8,MATCH(F16,Parametros!$A$5:$A$8,0))</f>
        <v>3</v>
      </c>
      <c r="I16" s="9">
        <f>INDEX(Parametros!$B$11:$B$14,MATCH(G16,Parametros!$A$11:$A$14,0))</f>
        <v>2</v>
      </c>
      <c r="J16" s="8">
        <f t="shared" si="0"/>
        <v>6</v>
      </c>
      <c r="K16" s="7" t="str">
        <f>IF(J16&gt;=Parametros!$B$17,"Crítico",IF(J16&gt;=Parametros!$B$18,"Alto",IF(J16&gt;=Parametros!$B$19,"Medio","Bajo")))</f>
        <v>Alto</v>
      </c>
      <c r="L16" s="20" t="s">
        <v>8</v>
      </c>
      <c r="M16" s="20" t="s">
        <v>19</v>
      </c>
      <c r="N16" s="9">
        <f>INDEX(Parametros!$B$5:$B$8,MATCH(L16,Parametros!$A$5:$A$8,0))*INDEX(Parametros!$B$11:$B$14,MATCH(M16,Parametros!$A$11:$A$14,0))</f>
        <v>2</v>
      </c>
      <c r="O16" s="7" t="str">
        <f>IF(N16&gt;=Parametros!$B$17,"Crítico",IF(N16&gt;=Parametros!$B$18,"Alto",IF(N16&gt;=Parametros!$B$19,"Medio","Bajo")))</f>
        <v>Bajo</v>
      </c>
      <c r="P16" s="20">
        <v>0</v>
      </c>
      <c r="Q16" s="10">
        <f t="shared" si="1"/>
        <v>6.0098399999999996</v>
      </c>
      <c r="R16" s="8">
        <f t="shared" si="2"/>
        <v>17</v>
      </c>
    </row>
    <row r="17" spans="1:18" ht="26.4" x14ac:dyDescent="0.3">
      <c r="A17" s="7" t="s">
        <v>92</v>
      </c>
      <c r="B17" s="8" t="s">
        <v>50</v>
      </c>
      <c r="C17" s="5" t="s">
        <v>90</v>
      </c>
      <c r="D17" s="8" t="s">
        <v>52</v>
      </c>
      <c r="E17" s="5" t="s">
        <v>93</v>
      </c>
      <c r="F17" s="20" t="s">
        <v>6</v>
      </c>
      <c r="G17" s="20" t="s">
        <v>17</v>
      </c>
      <c r="H17" s="9">
        <f>INDEX(Parametros!$B$5:$B$8,MATCH(F17,Parametros!$A$5:$A$8,0))</f>
        <v>3</v>
      </c>
      <c r="I17" s="9">
        <f>INDEX(Parametros!$B$11:$B$14,MATCH(G17,Parametros!$A$11:$A$14,0))</f>
        <v>2</v>
      </c>
      <c r="J17" s="8">
        <f t="shared" si="0"/>
        <v>6</v>
      </c>
      <c r="K17" s="7" t="str">
        <f>IF(J17&gt;=Parametros!$B$17,"Crítico",IF(J17&gt;=Parametros!$B$18,"Alto",IF(J17&gt;=Parametros!$B$19,"Medio","Bajo")))</f>
        <v>Alto</v>
      </c>
      <c r="L17" s="20" t="s">
        <v>6</v>
      </c>
      <c r="M17" s="20" t="s">
        <v>19</v>
      </c>
      <c r="N17" s="9">
        <f>INDEX(Parametros!$B$5:$B$8,MATCH(L17,Parametros!$A$5:$A$8,0))*INDEX(Parametros!$B$11:$B$14,MATCH(M17,Parametros!$A$11:$A$14,0))</f>
        <v>3</v>
      </c>
      <c r="O17" s="7" t="str">
        <f>IF(N17&gt;=Parametros!$B$17,"Crítico",IF(N17&gt;=Parametros!$B$18,"Alto",IF(N17&gt;=Parametros!$B$19,"Medio","Bajo")))</f>
        <v>Medio</v>
      </c>
      <c r="P17" s="20">
        <v>0</v>
      </c>
      <c r="Q17" s="10">
        <f t="shared" si="1"/>
        <v>6.00983</v>
      </c>
      <c r="R17" s="8">
        <f t="shared" si="2"/>
        <v>18</v>
      </c>
    </row>
    <row r="18" spans="1:18" x14ac:dyDescent="0.3">
      <c r="A18" s="7" t="s">
        <v>94</v>
      </c>
      <c r="B18" s="8" t="s">
        <v>50</v>
      </c>
      <c r="C18" s="5" t="s">
        <v>95</v>
      </c>
      <c r="D18" s="8" t="s">
        <v>78</v>
      </c>
      <c r="E18" s="5" t="s">
        <v>96</v>
      </c>
      <c r="F18" s="20" t="s">
        <v>8</v>
      </c>
      <c r="G18" s="20" t="s">
        <v>17</v>
      </c>
      <c r="H18" s="9">
        <f>INDEX(Parametros!$B$5:$B$8,MATCH(F18,Parametros!$A$5:$A$8,0))</f>
        <v>2</v>
      </c>
      <c r="I18" s="9">
        <f>INDEX(Parametros!$B$11:$B$14,MATCH(G18,Parametros!$A$11:$A$14,0))</f>
        <v>2</v>
      </c>
      <c r="J18" s="8">
        <f t="shared" si="0"/>
        <v>4</v>
      </c>
      <c r="K18" s="7" t="str">
        <f>IF(J18&gt;=Parametros!$B$17,"Crítico",IF(J18&gt;=Parametros!$B$18,"Alto",IF(J18&gt;=Parametros!$B$19,"Medio","Bajo")))</f>
        <v>Medio</v>
      </c>
      <c r="L18" s="20" t="s">
        <v>10</v>
      </c>
      <c r="M18" s="20" t="s">
        <v>19</v>
      </c>
      <c r="N18" s="9">
        <f>INDEX(Parametros!$B$5:$B$8,MATCH(L18,Parametros!$A$5:$A$8,0))*INDEX(Parametros!$B$11:$B$14,MATCH(M18,Parametros!$A$11:$A$14,0))</f>
        <v>1</v>
      </c>
      <c r="O18" s="7" t="str">
        <f>IF(N18&gt;=Parametros!$B$17,"Crítico",IF(N18&gt;=Parametros!$B$18,"Alto",IF(N18&gt;=Parametros!$B$19,"Medio","Bajo")))</f>
        <v>Bajo</v>
      </c>
      <c r="P18" s="20">
        <v>0</v>
      </c>
      <c r="Q18" s="10">
        <f t="shared" si="1"/>
        <v>4.0098200000000004</v>
      </c>
      <c r="R18" s="8">
        <f t="shared" si="2"/>
        <v>20</v>
      </c>
    </row>
    <row r="19" spans="1:18" x14ac:dyDescent="0.3">
      <c r="A19" s="7" t="s">
        <v>97</v>
      </c>
      <c r="B19" s="8" t="s">
        <v>50</v>
      </c>
      <c r="C19" s="5" t="s">
        <v>95</v>
      </c>
      <c r="D19" s="8" t="s">
        <v>87</v>
      </c>
      <c r="E19" s="5" t="s">
        <v>98</v>
      </c>
      <c r="F19" s="20" t="s">
        <v>8</v>
      </c>
      <c r="G19" s="20" t="s">
        <v>17</v>
      </c>
      <c r="H19" s="9">
        <f>INDEX(Parametros!$B$5:$B$8,MATCH(F19,Parametros!$A$5:$A$8,0))</f>
        <v>2</v>
      </c>
      <c r="I19" s="9">
        <f>INDEX(Parametros!$B$11:$B$14,MATCH(G19,Parametros!$A$11:$A$14,0))</f>
        <v>2</v>
      </c>
      <c r="J19" s="8">
        <f t="shared" si="0"/>
        <v>4</v>
      </c>
      <c r="K19" s="7" t="str">
        <f>IF(J19&gt;=Parametros!$B$17,"Crítico",IF(J19&gt;=Parametros!$B$18,"Alto",IF(J19&gt;=Parametros!$B$19,"Medio","Bajo")))</f>
        <v>Medio</v>
      </c>
      <c r="L19" s="20" t="s">
        <v>10</v>
      </c>
      <c r="M19" s="20" t="s">
        <v>19</v>
      </c>
      <c r="N19" s="9">
        <f>INDEX(Parametros!$B$5:$B$8,MATCH(L19,Parametros!$A$5:$A$8,0))*INDEX(Parametros!$B$11:$B$14,MATCH(M19,Parametros!$A$11:$A$14,0))</f>
        <v>1</v>
      </c>
      <c r="O19" s="7" t="str">
        <f>IF(N19&gt;=Parametros!$B$17,"Crítico",IF(N19&gt;=Parametros!$B$18,"Alto",IF(N19&gt;=Parametros!$B$19,"Medio","Bajo")))</f>
        <v>Bajo</v>
      </c>
      <c r="P19" s="20">
        <v>0</v>
      </c>
      <c r="Q19" s="10">
        <f t="shared" si="1"/>
        <v>4.0098099999999999</v>
      </c>
      <c r="R19" s="8">
        <f t="shared" si="2"/>
        <v>21</v>
      </c>
    </row>
    <row r="20" spans="1:18" x14ac:dyDescent="0.3">
      <c r="A20" s="7" t="s">
        <v>99</v>
      </c>
      <c r="B20" s="8" t="s">
        <v>50</v>
      </c>
      <c r="C20" s="5" t="s">
        <v>100</v>
      </c>
      <c r="D20" s="8" t="s">
        <v>65</v>
      </c>
      <c r="E20" s="5" t="s">
        <v>101</v>
      </c>
      <c r="F20" s="20" t="s">
        <v>8</v>
      </c>
      <c r="G20" s="20" t="s">
        <v>19</v>
      </c>
      <c r="H20" s="9">
        <f>INDEX(Parametros!$B$5:$B$8,MATCH(F20,Parametros!$A$5:$A$8,0))</f>
        <v>2</v>
      </c>
      <c r="I20" s="9">
        <f>INDEX(Parametros!$B$11:$B$14,MATCH(G20,Parametros!$A$11:$A$14,0))</f>
        <v>1</v>
      </c>
      <c r="J20" s="8">
        <f t="shared" si="0"/>
        <v>2</v>
      </c>
      <c r="K20" s="7" t="str">
        <f>IF(J20&gt;=Parametros!$B$17,"Crítico",IF(J20&gt;=Parametros!$B$18,"Alto",IF(J20&gt;=Parametros!$B$19,"Medio","Bajo")))</f>
        <v>Bajo</v>
      </c>
      <c r="L20" s="20" t="s">
        <v>10</v>
      </c>
      <c r="M20" s="20" t="s">
        <v>19</v>
      </c>
      <c r="N20" s="9">
        <f>INDEX(Parametros!$B$5:$B$8,MATCH(L20,Parametros!$A$5:$A$8,0))*INDEX(Parametros!$B$11:$B$14,MATCH(M20,Parametros!$A$11:$A$14,0))</f>
        <v>1</v>
      </c>
      <c r="O20" s="7" t="str">
        <f>IF(N20&gt;=Parametros!$B$17,"Crítico",IF(N20&gt;=Parametros!$B$18,"Alto",IF(N20&gt;=Parametros!$B$19,"Medio","Bajo")))</f>
        <v>Bajo</v>
      </c>
      <c r="P20" s="20">
        <v>0</v>
      </c>
      <c r="Q20" s="10">
        <f t="shared" si="1"/>
        <v>2.0097999999999998</v>
      </c>
      <c r="R20" s="8">
        <f t="shared" si="2"/>
        <v>30</v>
      </c>
    </row>
    <row r="21" spans="1:18" x14ac:dyDescent="0.3">
      <c r="A21" s="7" t="s">
        <v>102</v>
      </c>
      <c r="B21" s="8" t="s">
        <v>50</v>
      </c>
      <c r="C21" s="5" t="s">
        <v>103</v>
      </c>
      <c r="D21" s="8" t="s">
        <v>78</v>
      </c>
      <c r="E21" s="5" t="s">
        <v>104</v>
      </c>
      <c r="F21" s="20" t="s">
        <v>8</v>
      </c>
      <c r="G21" s="20" t="s">
        <v>17</v>
      </c>
      <c r="H21" s="9">
        <f>INDEX(Parametros!$B$5:$B$8,MATCH(F21,Parametros!$A$5:$A$8,0))</f>
        <v>2</v>
      </c>
      <c r="I21" s="9">
        <f>INDEX(Parametros!$B$11:$B$14,MATCH(G21,Parametros!$A$11:$A$14,0))</f>
        <v>2</v>
      </c>
      <c r="J21" s="8">
        <f t="shared" si="0"/>
        <v>4</v>
      </c>
      <c r="K21" s="7" t="str">
        <f>IF(J21&gt;=Parametros!$B$17,"Crítico",IF(J21&gt;=Parametros!$B$18,"Alto",IF(J21&gt;=Parametros!$B$19,"Medio","Bajo")))</f>
        <v>Medio</v>
      </c>
      <c r="L21" s="20" t="s">
        <v>10</v>
      </c>
      <c r="M21" s="20" t="s">
        <v>19</v>
      </c>
      <c r="N21" s="9">
        <f>INDEX(Parametros!$B$5:$B$8,MATCH(L21,Parametros!$A$5:$A$8,0))*INDEX(Parametros!$B$11:$B$14,MATCH(M21,Parametros!$A$11:$A$14,0))</f>
        <v>1</v>
      </c>
      <c r="O21" s="7" t="str">
        <f>IF(N21&gt;=Parametros!$B$17,"Crítico",IF(N21&gt;=Parametros!$B$18,"Alto",IF(N21&gt;=Parametros!$B$19,"Medio","Bajo")))</f>
        <v>Bajo</v>
      </c>
      <c r="P21" s="20">
        <v>0</v>
      </c>
      <c r="Q21" s="10">
        <f t="shared" si="1"/>
        <v>4.0097899999999997</v>
      </c>
      <c r="R21" s="8">
        <f t="shared" si="2"/>
        <v>22</v>
      </c>
    </row>
    <row r="22" spans="1:18" x14ac:dyDescent="0.3">
      <c r="A22" s="7" t="s">
        <v>105</v>
      </c>
      <c r="B22" s="8" t="s">
        <v>50</v>
      </c>
      <c r="C22" s="5" t="s">
        <v>103</v>
      </c>
      <c r="D22" s="8" t="s">
        <v>65</v>
      </c>
      <c r="E22" s="5" t="s">
        <v>106</v>
      </c>
      <c r="F22" s="20" t="s">
        <v>6</v>
      </c>
      <c r="G22" s="20" t="s">
        <v>19</v>
      </c>
      <c r="H22" s="9">
        <f>INDEX(Parametros!$B$5:$B$8,MATCH(F22,Parametros!$A$5:$A$8,0))</f>
        <v>3</v>
      </c>
      <c r="I22" s="9">
        <f>INDEX(Parametros!$B$11:$B$14,MATCH(G22,Parametros!$A$11:$A$14,0))</f>
        <v>1</v>
      </c>
      <c r="J22" s="8">
        <f t="shared" si="0"/>
        <v>3</v>
      </c>
      <c r="K22" s="7" t="str">
        <f>IF(J22&gt;=Parametros!$B$17,"Crítico",IF(J22&gt;=Parametros!$B$18,"Alto",IF(J22&gt;=Parametros!$B$19,"Medio","Bajo")))</f>
        <v>Medio</v>
      </c>
      <c r="L22" s="20" t="s">
        <v>8</v>
      </c>
      <c r="M22" s="20" t="s">
        <v>19</v>
      </c>
      <c r="N22" s="9">
        <f>INDEX(Parametros!$B$5:$B$8,MATCH(L22,Parametros!$A$5:$A$8,0))*INDEX(Parametros!$B$11:$B$14,MATCH(M22,Parametros!$A$11:$A$14,0))</f>
        <v>2</v>
      </c>
      <c r="O22" s="7" t="str">
        <f>IF(N22&gt;=Parametros!$B$17,"Crítico",IF(N22&gt;=Parametros!$B$18,"Alto",IF(N22&gt;=Parametros!$B$19,"Medio","Bajo")))</f>
        <v>Bajo</v>
      </c>
      <c r="P22" s="20">
        <v>0</v>
      </c>
      <c r="Q22" s="10">
        <f t="shared" si="1"/>
        <v>3.0097800000000001</v>
      </c>
      <c r="R22" s="8">
        <f t="shared" si="2"/>
        <v>26</v>
      </c>
    </row>
    <row r="23" spans="1:18" x14ac:dyDescent="0.3">
      <c r="A23" s="7" t="s">
        <v>107</v>
      </c>
      <c r="B23" s="8" t="s">
        <v>50</v>
      </c>
      <c r="C23" s="5" t="s">
        <v>77</v>
      </c>
      <c r="D23" s="8" t="s">
        <v>87</v>
      </c>
      <c r="E23" s="5" t="s">
        <v>108</v>
      </c>
      <c r="F23" s="20" t="s">
        <v>6</v>
      </c>
      <c r="G23" s="20" t="s">
        <v>19</v>
      </c>
      <c r="H23" s="9">
        <f>INDEX(Parametros!$B$5:$B$8,MATCH(F23,Parametros!$A$5:$A$8,0))</f>
        <v>3</v>
      </c>
      <c r="I23" s="9">
        <f>INDEX(Parametros!$B$11:$B$14,MATCH(G23,Parametros!$A$11:$A$14,0))</f>
        <v>1</v>
      </c>
      <c r="J23" s="8">
        <f t="shared" si="0"/>
        <v>3</v>
      </c>
      <c r="K23" s="7" t="str">
        <f>IF(J23&gt;=Parametros!$B$17,"Crítico",IF(J23&gt;=Parametros!$B$18,"Alto",IF(J23&gt;=Parametros!$B$19,"Medio","Bajo")))</f>
        <v>Medio</v>
      </c>
      <c r="L23" s="20" t="s">
        <v>8</v>
      </c>
      <c r="M23" s="20" t="s">
        <v>19</v>
      </c>
      <c r="N23" s="9">
        <f>INDEX(Parametros!$B$5:$B$8,MATCH(L23,Parametros!$A$5:$A$8,0))*INDEX(Parametros!$B$11:$B$14,MATCH(M23,Parametros!$A$11:$A$14,0))</f>
        <v>2</v>
      </c>
      <c r="O23" s="7" t="str">
        <f>IF(N23&gt;=Parametros!$B$17,"Crítico",IF(N23&gt;=Parametros!$B$18,"Alto",IF(N23&gt;=Parametros!$B$19,"Medio","Bajo")))</f>
        <v>Bajo</v>
      </c>
      <c r="P23" s="20">
        <v>0</v>
      </c>
      <c r="Q23" s="10">
        <f t="shared" si="1"/>
        <v>3.0097700000000001</v>
      </c>
      <c r="R23" s="8">
        <f t="shared" si="2"/>
        <v>27</v>
      </c>
    </row>
    <row r="24" spans="1:18" x14ac:dyDescent="0.3">
      <c r="A24" s="7" t="s">
        <v>109</v>
      </c>
      <c r="B24" s="8" t="s">
        <v>50</v>
      </c>
      <c r="C24" s="5" t="s">
        <v>110</v>
      </c>
      <c r="D24" s="8" t="s">
        <v>71</v>
      </c>
      <c r="E24" s="5" t="s">
        <v>111</v>
      </c>
      <c r="F24" s="20" t="s">
        <v>8</v>
      </c>
      <c r="G24" s="20" t="s">
        <v>19</v>
      </c>
      <c r="H24" s="9">
        <f>INDEX(Parametros!$B$5:$B$8,MATCH(F24,Parametros!$A$5:$A$8,0))</f>
        <v>2</v>
      </c>
      <c r="I24" s="9">
        <f>INDEX(Parametros!$B$11:$B$14,MATCH(G24,Parametros!$A$11:$A$14,0))</f>
        <v>1</v>
      </c>
      <c r="J24" s="8">
        <f t="shared" si="0"/>
        <v>2</v>
      </c>
      <c r="K24" s="7" t="str">
        <f>IF(J24&gt;=Parametros!$B$17,"Crítico",IF(J24&gt;=Parametros!$B$18,"Alto",IF(J24&gt;=Parametros!$B$19,"Medio","Bajo")))</f>
        <v>Bajo</v>
      </c>
      <c r="L24" s="20" t="s">
        <v>10</v>
      </c>
      <c r="M24" s="20" t="s">
        <v>19</v>
      </c>
      <c r="N24" s="9">
        <f>INDEX(Parametros!$B$5:$B$8,MATCH(L24,Parametros!$A$5:$A$8,0))*INDEX(Parametros!$B$11:$B$14,MATCH(M24,Parametros!$A$11:$A$14,0))</f>
        <v>1</v>
      </c>
      <c r="O24" s="7" t="str">
        <f>IF(N24&gt;=Parametros!$B$17,"Crítico",IF(N24&gt;=Parametros!$B$18,"Alto",IF(N24&gt;=Parametros!$B$19,"Medio","Bajo")))</f>
        <v>Bajo</v>
      </c>
      <c r="P24" s="20">
        <v>0</v>
      </c>
      <c r="Q24" s="10">
        <f t="shared" si="1"/>
        <v>2.00976</v>
      </c>
      <c r="R24" s="8">
        <f t="shared" si="2"/>
        <v>31</v>
      </c>
    </row>
    <row r="25" spans="1:18" x14ac:dyDescent="0.3">
      <c r="A25" s="7" t="s">
        <v>112</v>
      </c>
      <c r="B25" s="8" t="s">
        <v>113</v>
      </c>
      <c r="C25" s="5" t="s">
        <v>114</v>
      </c>
      <c r="D25" s="8" t="s">
        <v>65</v>
      </c>
      <c r="E25" s="5" t="s">
        <v>115</v>
      </c>
      <c r="F25" s="20" t="s">
        <v>4</v>
      </c>
      <c r="G25" s="20" t="s">
        <v>17</v>
      </c>
      <c r="H25" s="9">
        <f>INDEX(Parametros!$B$5:$B$8,MATCH(F25,Parametros!$A$5:$A$8,0))</f>
        <v>4</v>
      </c>
      <c r="I25" s="9">
        <f>INDEX(Parametros!$B$11:$B$14,MATCH(G25,Parametros!$A$11:$A$14,0))</f>
        <v>2</v>
      </c>
      <c r="J25" s="8">
        <f t="shared" si="0"/>
        <v>8</v>
      </c>
      <c r="K25" s="7" t="str">
        <f>IF(J25&gt;=Parametros!$B$17,"Crítico",IF(J25&gt;=Parametros!$B$18,"Alto",IF(J25&gt;=Parametros!$B$19,"Medio","Bajo")))</f>
        <v>Alto</v>
      </c>
      <c r="L25" s="20" t="s">
        <v>4</v>
      </c>
      <c r="M25" s="20" t="s">
        <v>19</v>
      </c>
      <c r="N25" s="9">
        <f>INDEX(Parametros!$B$5:$B$8,MATCH(L25,Parametros!$A$5:$A$8,0))*INDEX(Parametros!$B$11:$B$14,MATCH(M25,Parametros!$A$11:$A$14,0))</f>
        <v>4</v>
      </c>
      <c r="O25" s="7" t="str">
        <f>IF(N25&gt;=Parametros!$B$17,"Crítico",IF(N25&gt;=Parametros!$B$18,"Alto",IF(N25&gt;=Parametros!$B$19,"Medio","Bajo")))</f>
        <v>Medio</v>
      </c>
      <c r="P25" s="20">
        <v>1</v>
      </c>
      <c r="Q25" s="10">
        <f t="shared" si="1"/>
        <v>8.5097500000000004</v>
      </c>
      <c r="R25" s="8">
        <f t="shared" si="2"/>
        <v>8</v>
      </c>
    </row>
    <row r="26" spans="1:18" x14ac:dyDescent="0.3">
      <c r="A26" s="7" t="s">
        <v>116</v>
      </c>
      <c r="B26" s="8" t="s">
        <v>113</v>
      </c>
      <c r="C26" s="5" t="s">
        <v>117</v>
      </c>
      <c r="D26" s="8" t="s">
        <v>65</v>
      </c>
      <c r="E26" s="5" t="s">
        <v>118</v>
      </c>
      <c r="F26" s="20" t="s">
        <v>4</v>
      </c>
      <c r="G26" s="20" t="s">
        <v>17</v>
      </c>
      <c r="H26" s="9">
        <f>INDEX(Parametros!$B$5:$B$8,MATCH(F26,Parametros!$A$5:$A$8,0))</f>
        <v>4</v>
      </c>
      <c r="I26" s="9">
        <f>INDEX(Parametros!$B$11:$B$14,MATCH(G26,Parametros!$A$11:$A$14,0))</f>
        <v>2</v>
      </c>
      <c r="J26" s="8">
        <f t="shared" si="0"/>
        <v>8</v>
      </c>
      <c r="K26" s="7" t="str">
        <f>IF(J26&gt;=Parametros!$B$17,"Crítico",IF(J26&gt;=Parametros!$B$18,"Alto",IF(J26&gt;=Parametros!$B$19,"Medio","Bajo")))</f>
        <v>Alto</v>
      </c>
      <c r="L26" s="20" t="s">
        <v>4</v>
      </c>
      <c r="M26" s="20" t="s">
        <v>19</v>
      </c>
      <c r="N26" s="9">
        <f>INDEX(Parametros!$B$5:$B$8,MATCH(L26,Parametros!$A$5:$A$8,0))*INDEX(Parametros!$B$11:$B$14,MATCH(M26,Parametros!$A$11:$A$14,0))</f>
        <v>4</v>
      </c>
      <c r="O26" s="7" t="str">
        <f>IF(N26&gt;=Parametros!$B$17,"Crítico",IF(N26&gt;=Parametros!$B$18,"Alto",IF(N26&gt;=Parametros!$B$19,"Medio","Bajo")))</f>
        <v>Medio</v>
      </c>
      <c r="P26" s="20">
        <v>1</v>
      </c>
      <c r="Q26" s="10">
        <f t="shared" si="1"/>
        <v>8.5097400000000007</v>
      </c>
      <c r="R26" s="8">
        <f t="shared" si="2"/>
        <v>9</v>
      </c>
    </row>
    <row r="27" spans="1:18" x14ac:dyDescent="0.3">
      <c r="A27" s="7" t="s">
        <v>119</v>
      </c>
      <c r="B27" s="8" t="s">
        <v>113</v>
      </c>
      <c r="C27" s="5" t="s">
        <v>120</v>
      </c>
      <c r="D27" s="8" t="s">
        <v>52</v>
      </c>
      <c r="E27" s="5" t="s">
        <v>121</v>
      </c>
      <c r="F27" s="20" t="s">
        <v>4</v>
      </c>
      <c r="G27" s="20" t="s">
        <v>17</v>
      </c>
      <c r="H27" s="9">
        <f>INDEX(Parametros!$B$5:$B$8,MATCH(F27,Parametros!$A$5:$A$8,0))</f>
        <v>4</v>
      </c>
      <c r="I27" s="9">
        <f>INDEX(Parametros!$B$11:$B$14,MATCH(G27,Parametros!$A$11:$A$14,0))</f>
        <v>2</v>
      </c>
      <c r="J27" s="8">
        <f t="shared" si="0"/>
        <v>8</v>
      </c>
      <c r="K27" s="7" t="str">
        <f>IF(J27&gt;=Parametros!$B$17,"Crítico",IF(J27&gt;=Parametros!$B$18,"Alto",IF(J27&gt;=Parametros!$B$19,"Medio","Bajo")))</f>
        <v>Alto</v>
      </c>
      <c r="L27" s="20" t="s">
        <v>4</v>
      </c>
      <c r="M27" s="20" t="s">
        <v>19</v>
      </c>
      <c r="N27" s="9">
        <f>INDEX(Parametros!$B$5:$B$8,MATCH(L27,Parametros!$A$5:$A$8,0))*INDEX(Parametros!$B$11:$B$14,MATCH(M27,Parametros!$A$11:$A$14,0))</f>
        <v>4</v>
      </c>
      <c r="O27" s="7" t="str">
        <f>IF(N27&gt;=Parametros!$B$17,"Crítico",IF(N27&gt;=Parametros!$B$18,"Alto",IF(N27&gt;=Parametros!$B$19,"Medio","Bajo")))</f>
        <v>Medio</v>
      </c>
      <c r="P27" s="20">
        <v>1</v>
      </c>
      <c r="Q27" s="10">
        <f t="shared" si="1"/>
        <v>8.5097299999999994</v>
      </c>
      <c r="R27" s="8">
        <f t="shared" si="2"/>
        <v>10</v>
      </c>
    </row>
    <row r="28" spans="1:18" ht="26.4" x14ac:dyDescent="0.3">
      <c r="A28" s="7" t="s">
        <v>122</v>
      </c>
      <c r="B28" s="8" t="s">
        <v>113</v>
      </c>
      <c r="C28" s="5" t="s">
        <v>123</v>
      </c>
      <c r="D28" s="8" t="s">
        <v>78</v>
      </c>
      <c r="E28" s="5" t="s">
        <v>124</v>
      </c>
      <c r="F28" s="20" t="s">
        <v>6</v>
      </c>
      <c r="G28" s="20" t="s">
        <v>15</v>
      </c>
      <c r="H28" s="9">
        <f>INDEX(Parametros!$B$5:$B$8,MATCH(F28,Parametros!$A$5:$A$8,0))</f>
        <v>3</v>
      </c>
      <c r="I28" s="9">
        <f>INDEX(Parametros!$B$11:$B$14,MATCH(G28,Parametros!$A$11:$A$14,0))</f>
        <v>3</v>
      </c>
      <c r="J28" s="8">
        <f t="shared" si="0"/>
        <v>9</v>
      </c>
      <c r="K28" s="7" t="str">
        <f>IF(J28&gt;=Parametros!$B$17,"Crítico",IF(J28&gt;=Parametros!$B$18,"Alto",IF(J28&gt;=Parametros!$B$19,"Medio","Bajo")))</f>
        <v>Crítico</v>
      </c>
      <c r="L28" s="20" t="s">
        <v>8</v>
      </c>
      <c r="M28" s="20" t="s">
        <v>19</v>
      </c>
      <c r="N28" s="9">
        <f>INDEX(Parametros!$B$5:$B$8,MATCH(L28,Parametros!$A$5:$A$8,0))*INDEX(Parametros!$B$11:$B$14,MATCH(M28,Parametros!$A$11:$A$14,0))</f>
        <v>2</v>
      </c>
      <c r="O28" s="7" t="str">
        <f>IF(N28&gt;=Parametros!$B$17,"Crítico",IF(N28&gt;=Parametros!$B$18,"Alto",IF(N28&gt;=Parametros!$B$19,"Medio","Bajo")))</f>
        <v>Bajo</v>
      </c>
      <c r="P28" s="20">
        <v>0</v>
      </c>
      <c r="Q28" s="10">
        <f t="shared" si="1"/>
        <v>9.0097199999999997</v>
      </c>
      <c r="R28" s="8">
        <f t="shared" si="2"/>
        <v>6</v>
      </c>
    </row>
    <row r="29" spans="1:18" ht="26.4" x14ac:dyDescent="0.3">
      <c r="A29" s="7" t="s">
        <v>125</v>
      </c>
      <c r="B29" s="8" t="s">
        <v>113</v>
      </c>
      <c r="C29" s="5" t="s">
        <v>123</v>
      </c>
      <c r="D29" s="8" t="s">
        <v>59</v>
      </c>
      <c r="E29" s="5" t="s">
        <v>126</v>
      </c>
      <c r="F29" s="20" t="s">
        <v>4</v>
      </c>
      <c r="G29" s="20" t="s">
        <v>17</v>
      </c>
      <c r="H29" s="9">
        <f>INDEX(Parametros!$B$5:$B$8,MATCH(F29,Parametros!$A$5:$A$8,0))</f>
        <v>4</v>
      </c>
      <c r="I29" s="9">
        <f>INDEX(Parametros!$B$11:$B$14,MATCH(G29,Parametros!$A$11:$A$14,0))</f>
        <v>2</v>
      </c>
      <c r="J29" s="8">
        <f t="shared" si="0"/>
        <v>8</v>
      </c>
      <c r="K29" s="7" t="str">
        <f>IF(J29&gt;=Parametros!$B$17,"Crítico",IF(J29&gt;=Parametros!$B$18,"Alto",IF(J29&gt;=Parametros!$B$19,"Medio","Bajo")))</f>
        <v>Alto</v>
      </c>
      <c r="L29" s="20" t="s">
        <v>4</v>
      </c>
      <c r="M29" s="20" t="s">
        <v>19</v>
      </c>
      <c r="N29" s="9">
        <f>INDEX(Parametros!$B$5:$B$8,MATCH(L29,Parametros!$A$5:$A$8,0))*INDEX(Parametros!$B$11:$B$14,MATCH(M29,Parametros!$A$11:$A$14,0))</f>
        <v>4</v>
      </c>
      <c r="O29" s="7" t="str">
        <f>IF(N29&gt;=Parametros!$B$17,"Crítico",IF(N29&gt;=Parametros!$B$18,"Alto",IF(N29&gt;=Parametros!$B$19,"Medio","Bajo")))</f>
        <v>Medio</v>
      </c>
      <c r="P29" s="20">
        <v>0</v>
      </c>
      <c r="Q29" s="10">
        <f t="shared" si="1"/>
        <v>8.0097100000000001</v>
      </c>
      <c r="R29" s="8">
        <f t="shared" si="2"/>
        <v>13</v>
      </c>
    </row>
    <row r="30" spans="1:18" x14ac:dyDescent="0.3">
      <c r="A30" s="7" t="s">
        <v>127</v>
      </c>
      <c r="B30" s="8" t="s">
        <v>113</v>
      </c>
      <c r="C30" s="5" t="s">
        <v>128</v>
      </c>
      <c r="D30" s="8" t="s">
        <v>52</v>
      </c>
      <c r="E30" s="5" t="s">
        <v>129</v>
      </c>
      <c r="F30" s="20" t="s">
        <v>4</v>
      </c>
      <c r="G30" s="20" t="s">
        <v>19</v>
      </c>
      <c r="H30" s="9">
        <f>INDEX(Parametros!$B$5:$B$8,MATCH(F30,Parametros!$A$5:$A$8,0))</f>
        <v>4</v>
      </c>
      <c r="I30" s="9">
        <f>INDEX(Parametros!$B$11:$B$14,MATCH(G30,Parametros!$A$11:$A$14,0))</f>
        <v>1</v>
      </c>
      <c r="J30" s="8">
        <f t="shared" si="0"/>
        <v>4</v>
      </c>
      <c r="K30" s="7" t="str">
        <f>IF(J30&gt;=Parametros!$B$17,"Crítico",IF(J30&gt;=Parametros!$B$18,"Alto",IF(J30&gt;=Parametros!$B$19,"Medio","Bajo")))</f>
        <v>Medio</v>
      </c>
      <c r="L30" s="20" t="s">
        <v>4</v>
      </c>
      <c r="M30" s="20" t="s">
        <v>19</v>
      </c>
      <c r="N30" s="9">
        <f>INDEX(Parametros!$B$5:$B$8,MATCH(L30,Parametros!$A$5:$A$8,0))*INDEX(Parametros!$B$11:$B$14,MATCH(M30,Parametros!$A$11:$A$14,0))</f>
        <v>4</v>
      </c>
      <c r="O30" s="7" t="str">
        <f>IF(N30&gt;=Parametros!$B$17,"Crítico",IF(N30&gt;=Parametros!$B$18,"Alto",IF(N30&gt;=Parametros!$B$19,"Medio","Bajo")))</f>
        <v>Medio</v>
      </c>
      <c r="P30" s="20">
        <v>0</v>
      </c>
      <c r="Q30" s="10">
        <f t="shared" si="1"/>
        <v>4.0096999999999996</v>
      </c>
      <c r="R30" s="8">
        <f t="shared" si="2"/>
        <v>23</v>
      </c>
    </row>
    <row r="31" spans="1:18" x14ac:dyDescent="0.3">
      <c r="A31" s="7" t="s">
        <v>130</v>
      </c>
      <c r="B31" s="8" t="s">
        <v>113</v>
      </c>
      <c r="C31" s="5" t="s">
        <v>131</v>
      </c>
      <c r="D31" s="8" t="s">
        <v>71</v>
      </c>
      <c r="E31" s="5" t="s">
        <v>132</v>
      </c>
      <c r="F31" s="20" t="s">
        <v>6</v>
      </c>
      <c r="G31" s="20" t="s">
        <v>17</v>
      </c>
      <c r="H31" s="9">
        <f>INDEX(Parametros!$B$5:$B$8,MATCH(F31,Parametros!$A$5:$A$8,0))</f>
        <v>3</v>
      </c>
      <c r="I31" s="9">
        <f>INDEX(Parametros!$B$11:$B$14,MATCH(G31,Parametros!$A$11:$A$14,0))</f>
        <v>2</v>
      </c>
      <c r="J31" s="8">
        <f t="shared" si="0"/>
        <v>6</v>
      </c>
      <c r="K31" s="7" t="str">
        <f>IF(J31&gt;=Parametros!$B$17,"Crítico",IF(J31&gt;=Parametros!$B$18,"Alto",IF(J31&gt;=Parametros!$B$19,"Medio","Bajo")))</f>
        <v>Alto</v>
      </c>
      <c r="L31" s="20" t="s">
        <v>8</v>
      </c>
      <c r="M31" s="20" t="s">
        <v>19</v>
      </c>
      <c r="N31" s="9">
        <f>INDEX(Parametros!$B$5:$B$8,MATCH(L31,Parametros!$A$5:$A$8,0))*INDEX(Parametros!$B$11:$B$14,MATCH(M31,Parametros!$A$11:$A$14,0))</f>
        <v>2</v>
      </c>
      <c r="O31" s="7" t="str">
        <f>IF(N31&gt;=Parametros!$B$17,"Crítico",IF(N31&gt;=Parametros!$B$18,"Alto",IF(N31&gt;=Parametros!$B$19,"Medio","Bajo")))</f>
        <v>Bajo</v>
      </c>
      <c r="P31" s="20">
        <v>0</v>
      </c>
      <c r="Q31" s="10">
        <f t="shared" si="1"/>
        <v>6.00969</v>
      </c>
      <c r="R31" s="8">
        <f t="shared" si="2"/>
        <v>19</v>
      </c>
    </row>
    <row r="32" spans="1:18" x14ac:dyDescent="0.3">
      <c r="A32" s="7" t="s">
        <v>133</v>
      </c>
      <c r="B32" s="8" t="s">
        <v>113</v>
      </c>
      <c r="C32" s="5" t="s">
        <v>134</v>
      </c>
      <c r="D32" s="8" t="s">
        <v>65</v>
      </c>
      <c r="E32" s="5" t="s">
        <v>135</v>
      </c>
      <c r="F32" s="20" t="s">
        <v>6</v>
      </c>
      <c r="G32" s="20" t="s">
        <v>19</v>
      </c>
      <c r="H32" s="9">
        <f>INDEX(Parametros!$B$5:$B$8,MATCH(F32,Parametros!$A$5:$A$8,0))</f>
        <v>3</v>
      </c>
      <c r="I32" s="9">
        <f>INDEX(Parametros!$B$11:$B$14,MATCH(G32,Parametros!$A$11:$A$14,0))</f>
        <v>1</v>
      </c>
      <c r="J32" s="8">
        <f t="shared" si="0"/>
        <v>3</v>
      </c>
      <c r="K32" s="7" t="str">
        <f>IF(J32&gt;=Parametros!$B$17,"Crítico",IF(J32&gt;=Parametros!$B$18,"Alto",IF(J32&gt;=Parametros!$B$19,"Medio","Bajo")))</f>
        <v>Medio</v>
      </c>
      <c r="L32" s="20" t="s">
        <v>8</v>
      </c>
      <c r="M32" s="20" t="s">
        <v>19</v>
      </c>
      <c r="N32" s="9">
        <f>INDEX(Parametros!$B$5:$B$8,MATCH(L32,Parametros!$A$5:$A$8,0))*INDEX(Parametros!$B$11:$B$14,MATCH(M32,Parametros!$A$11:$A$14,0))</f>
        <v>2</v>
      </c>
      <c r="O32" s="7" t="str">
        <f>IF(N32&gt;=Parametros!$B$17,"Crítico",IF(N32&gt;=Parametros!$B$18,"Alto",IF(N32&gt;=Parametros!$B$19,"Medio","Bajo")))</f>
        <v>Bajo</v>
      </c>
      <c r="P32" s="20">
        <v>0</v>
      </c>
      <c r="Q32" s="10">
        <f t="shared" si="1"/>
        <v>3.0096799999999999</v>
      </c>
      <c r="R32" s="8">
        <f t="shared" si="2"/>
        <v>28</v>
      </c>
    </row>
    <row r="33" spans="1:18" ht="26.4" x14ac:dyDescent="0.3">
      <c r="A33" s="7" t="s">
        <v>136</v>
      </c>
      <c r="B33" s="8" t="s">
        <v>113</v>
      </c>
      <c r="C33" s="5" t="s">
        <v>137</v>
      </c>
      <c r="D33" s="8" t="s">
        <v>65</v>
      </c>
      <c r="E33" s="5" t="s">
        <v>138</v>
      </c>
      <c r="F33" s="20" t="s">
        <v>6</v>
      </c>
      <c r="G33" s="20" t="s">
        <v>19</v>
      </c>
      <c r="H33" s="9">
        <f>INDEX(Parametros!$B$5:$B$8,MATCH(F33,Parametros!$A$5:$A$8,0))</f>
        <v>3</v>
      </c>
      <c r="I33" s="9">
        <f>INDEX(Parametros!$B$11:$B$14,MATCH(G33,Parametros!$A$11:$A$14,0))</f>
        <v>1</v>
      </c>
      <c r="J33" s="8">
        <f t="shared" si="0"/>
        <v>3</v>
      </c>
      <c r="K33" s="7" t="str">
        <f>IF(J33&gt;=Parametros!$B$17,"Crítico",IF(J33&gt;=Parametros!$B$18,"Alto",IF(J33&gt;=Parametros!$B$19,"Medio","Bajo")))</f>
        <v>Medio</v>
      </c>
      <c r="L33" s="20" t="s">
        <v>8</v>
      </c>
      <c r="M33" s="20" t="s">
        <v>19</v>
      </c>
      <c r="N33" s="9">
        <f>INDEX(Parametros!$B$5:$B$8,MATCH(L33,Parametros!$A$5:$A$8,0))*INDEX(Parametros!$B$11:$B$14,MATCH(M33,Parametros!$A$11:$A$14,0))</f>
        <v>2</v>
      </c>
      <c r="O33" s="7" t="str">
        <f>IF(N33&gt;=Parametros!$B$17,"Crítico",IF(N33&gt;=Parametros!$B$18,"Alto",IF(N33&gt;=Parametros!$B$19,"Medio","Bajo")))</f>
        <v>Bajo</v>
      </c>
      <c r="P33" s="20">
        <v>0</v>
      </c>
      <c r="Q33" s="10">
        <f t="shared" si="1"/>
        <v>3.0096699999999998</v>
      </c>
      <c r="R33" s="8">
        <f t="shared" si="2"/>
        <v>29</v>
      </c>
    </row>
    <row r="34" spans="1:18" x14ac:dyDescent="0.3">
      <c r="A34" s="7" t="s">
        <v>139</v>
      </c>
      <c r="B34" s="8" t="s">
        <v>113</v>
      </c>
      <c r="C34" s="5" t="s">
        <v>120</v>
      </c>
      <c r="D34" s="8" t="s">
        <v>87</v>
      </c>
      <c r="E34" s="5" t="s">
        <v>140</v>
      </c>
      <c r="F34" s="20" t="s">
        <v>8</v>
      </c>
      <c r="G34" s="20" t="s">
        <v>17</v>
      </c>
      <c r="H34" s="9">
        <f>INDEX(Parametros!$B$5:$B$8,MATCH(F34,Parametros!$A$5:$A$8,0))</f>
        <v>2</v>
      </c>
      <c r="I34" s="9">
        <f>INDEX(Parametros!$B$11:$B$14,MATCH(G34,Parametros!$A$11:$A$14,0))</f>
        <v>2</v>
      </c>
      <c r="J34" s="8">
        <f t="shared" si="0"/>
        <v>4</v>
      </c>
      <c r="K34" s="7" t="str">
        <f>IF(J34&gt;=Parametros!$B$17,"Crítico",IF(J34&gt;=Parametros!$B$18,"Alto",IF(J34&gt;=Parametros!$B$19,"Medio","Bajo")))</f>
        <v>Medio</v>
      </c>
      <c r="L34" s="20" t="s">
        <v>10</v>
      </c>
      <c r="M34" s="20" t="s">
        <v>19</v>
      </c>
      <c r="N34" s="9">
        <f>INDEX(Parametros!$B$5:$B$8,MATCH(L34,Parametros!$A$5:$A$8,0))*INDEX(Parametros!$B$11:$B$14,MATCH(M34,Parametros!$A$11:$A$14,0))</f>
        <v>1</v>
      </c>
      <c r="O34" s="7" t="str">
        <f>IF(N34&gt;=Parametros!$B$17,"Crítico",IF(N34&gt;=Parametros!$B$18,"Alto",IF(N34&gt;=Parametros!$B$19,"Medio","Bajo")))</f>
        <v>Bajo</v>
      </c>
      <c r="P34" s="20">
        <v>0</v>
      </c>
      <c r="Q34" s="10">
        <f t="shared" si="1"/>
        <v>4.0096600000000002</v>
      </c>
      <c r="R34" s="8">
        <f t="shared" si="2"/>
        <v>24</v>
      </c>
    </row>
  </sheetData>
  <autoFilter ref="A3:R34" xr:uid="{00000000-0009-0000-0000-000001000000}"/>
  <conditionalFormatting sqref="K4:K34">
    <cfRule type="cellIs" dxfId="15" priority="2" operator="equal">
      <formula>"Crítico"</formula>
    </cfRule>
    <cfRule type="cellIs" dxfId="14" priority="3" operator="equal">
      <formula>"Alto"</formula>
    </cfRule>
    <cfRule type="cellIs" dxfId="13" priority="4" operator="equal">
      <formula>"Medio"</formula>
    </cfRule>
    <cfRule type="cellIs" dxfId="12" priority="5" operator="equal">
      <formula>"Bajo"</formula>
    </cfRule>
  </conditionalFormatting>
  <conditionalFormatting sqref="O4:O34">
    <cfRule type="cellIs" dxfId="11" priority="6" operator="equal">
      <formula>"Crítico"</formula>
    </cfRule>
    <cfRule type="cellIs" dxfId="10" priority="7" operator="equal">
      <formula>"Alto"</formula>
    </cfRule>
    <cfRule type="cellIs" dxfId="9" priority="8" operator="equal">
      <formula>"Medio"</formula>
    </cfRule>
    <cfRule type="cellIs" dxfId="8" priority="9" operator="equal">
      <formula>"Bajo"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100-000000000000}">
          <x14:formula1>
            <xm:f>Parametros!$A$5:$A$8</xm:f>
          </x14:formula1>
          <x14:formula2>
            <xm:f>0</xm:f>
          </x14:formula2>
          <xm:sqref>F4:F34 L4:L34</xm:sqref>
        </x14:dataValidation>
        <x14:dataValidation type="list" xr:uid="{00000000-0002-0000-0100-000001000000}">
          <x14:formula1>
            <xm:f>Parametros!$A$11:$A$14</xm:f>
          </x14:formula1>
          <x14:formula2>
            <xm:f>0</xm:f>
          </x14:formula2>
          <xm:sqref>G4:G34 M4:M34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"/>
  <sheetViews>
    <sheetView zoomScaleNormal="100" workbookViewId="0">
      <selection activeCell="A5" sqref="A5"/>
    </sheetView>
  </sheetViews>
  <sheetFormatPr baseColWidth="10" defaultColWidth="8.6640625" defaultRowHeight="14.4" x14ac:dyDescent="0.3"/>
  <cols>
    <col min="1" max="1" width="24" customWidth="1"/>
    <col min="2" max="5" width="14" customWidth="1"/>
  </cols>
  <sheetData>
    <row r="1" spans="1:5" ht="17.399999999999999" x14ac:dyDescent="0.3">
      <c r="A1" s="1" t="s">
        <v>141</v>
      </c>
    </row>
    <row r="3" spans="1:5" x14ac:dyDescent="0.3">
      <c r="A3" s="6" t="s">
        <v>142</v>
      </c>
    </row>
    <row r="4" spans="1:5" x14ac:dyDescent="0.3">
      <c r="A4" s="3" t="s">
        <v>143</v>
      </c>
      <c r="B4" s="3" t="s">
        <v>19</v>
      </c>
      <c r="C4" s="3" t="s">
        <v>17</v>
      </c>
      <c r="D4" s="3" t="s">
        <v>15</v>
      </c>
      <c r="E4" s="3" t="s">
        <v>13</v>
      </c>
    </row>
    <row r="5" spans="1:5" ht="30" customHeight="1" x14ac:dyDescent="0.3">
      <c r="A5" s="7" t="s">
        <v>4</v>
      </c>
      <c r="B5" s="11">
        <f>COUNTIFS(Matriz_Riesgos!$F$4:$F$34,$A5,Matriz_Riesgos!$G$4:$G$34,B$4)</f>
        <v>1</v>
      </c>
      <c r="C5" s="12">
        <f>COUNTIFS(Matriz_Riesgos!$F$4:$F$34,$A5,Matriz_Riesgos!$G$4:$G$34,C$4)</f>
        <v>7</v>
      </c>
      <c r="D5" s="13">
        <f>COUNTIFS(Matriz_Riesgos!$F$4:$F$34,$A5,Matriz_Riesgos!$G$4:$G$34,D$4)</f>
        <v>3</v>
      </c>
      <c r="E5" s="13">
        <f>COUNTIFS(Matriz_Riesgos!$F$4:$F$34,$A5,Matriz_Riesgos!$G$4:$G$34,E$4)</f>
        <v>0</v>
      </c>
    </row>
    <row r="6" spans="1:5" ht="30" customHeight="1" x14ac:dyDescent="0.3">
      <c r="A6" s="7" t="s">
        <v>6</v>
      </c>
      <c r="B6" s="11">
        <f>COUNTIFS(Matriz_Riesgos!$F$4:$F$34,$A6,Matriz_Riesgos!$G$4:$G$34,B$4)</f>
        <v>5</v>
      </c>
      <c r="C6" s="12">
        <f>COUNTIFS(Matriz_Riesgos!$F$4:$F$34,$A6,Matriz_Riesgos!$G$4:$G$34,C$4)</f>
        <v>6</v>
      </c>
      <c r="D6" s="13">
        <f>COUNTIFS(Matriz_Riesgos!$F$4:$F$34,$A6,Matriz_Riesgos!$G$4:$G$34,D$4)</f>
        <v>3</v>
      </c>
      <c r="E6" s="13">
        <f>COUNTIFS(Matriz_Riesgos!$F$4:$F$34,$A6,Matriz_Riesgos!$G$4:$G$34,E$4)</f>
        <v>0</v>
      </c>
    </row>
    <row r="7" spans="1:5" ht="30" customHeight="1" x14ac:dyDescent="0.3">
      <c r="A7" s="7" t="s">
        <v>8</v>
      </c>
      <c r="B7" s="14">
        <f>COUNTIFS(Matriz_Riesgos!$F$4:$F$34,$A7,Matriz_Riesgos!$G$4:$G$34,B$4)</f>
        <v>2</v>
      </c>
      <c r="C7" s="11">
        <f>COUNTIFS(Matriz_Riesgos!$F$4:$F$34,$A7,Matriz_Riesgos!$G$4:$G$34,C$4)</f>
        <v>4</v>
      </c>
      <c r="D7" s="12">
        <f>COUNTIFS(Matriz_Riesgos!$F$4:$F$34,$A7,Matriz_Riesgos!$G$4:$G$34,D$4)</f>
        <v>0</v>
      </c>
      <c r="E7" s="12">
        <f>COUNTIFS(Matriz_Riesgos!$F$4:$F$34,$A7,Matriz_Riesgos!$G$4:$G$34,E$4)</f>
        <v>0</v>
      </c>
    </row>
    <row r="8" spans="1:5" ht="30" customHeight="1" x14ac:dyDescent="0.3">
      <c r="A8" s="7" t="s">
        <v>10</v>
      </c>
      <c r="B8" s="14">
        <f>COUNTIFS(Matriz_Riesgos!$F$4:$F$34,$A8,Matriz_Riesgos!$G$4:$G$34,B$4)</f>
        <v>0</v>
      </c>
      <c r="C8" s="14">
        <f>COUNTIFS(Matriz_Riesgos!$F$4:$F$34,$A8,Matriz_Riesgos!$G$4:$G$34,C$4)</f>
        <v>0</v>
      </c>
      <c r="D8" s="11">
        <f>COUNTIFS(Matriz_Riesgos!$F$4:$F$34,$A8,Matriz_Riesgos!$G$4:$G$34,D$4)</f>
        <v>0</v>
      </c>
      <c r="E8" s="11">
        <f>COUNTIFS(Matriz_Riesgos!$F$4:$F$34,$A8,Matriz_Riesgos!$G$4:$G$34,E$4)</f>
        <v>0</v>
      </c>
    </row>
    <row r="9" spans="1:5" x14ac:dyDescent="0.3">
      <c r="A9" s="6" t="s">
        <v>144</v>
      </c>
      <c r="B9" s="6">
        <f>SUM(B5:E8)</f>
        <v>31</v>
      </c>
    </row>
    <row r="12" spans="1:5" x14ac:dyDescent="0.3">
      <c r="A12" s="6" t="s">
        <v>145</v>
      </c>
    </row>
    <row r="13" spans="1:5" x14ac:dyDescent="0.3">
      <c r="A13" s="3" t="s">
        <v>143</v>
      </c>
      <c r="B13" s="3" t="s">
        <v>19</v>
      </c>
      <c r="C13" s="3" t="s">
        <v>17</v>
      </c>
      <c r="D13" s="3" t="s">
        <v>15</v>
      </c>
      <c r="E13" s="3" t="s">
        <v>13</v>
      </c>
    </row>
    <row r="14" spans="1:5" ht="30" customHeight="1" x14ac:dyDescent="0.3">
      <c r="A14" s="7" t="s">
        <v>4</v>
      </c>
      <c r="B14" s="11">
        <f>COUNTIFS(Matriz_Riesgos!$L$4:$L$34,$A14,Matriz_Riesgos!$M$4:$M$34,B$13)</f>
        <v>8</v>
      </c>
      <c r="C14" s="12">
        <f>COUNTIFS(Matriz_Riesgos!$L$4:$L$34,$A14,Matriz_Riesgos!$M$4:$M$34,C$13)</f>
        <v>0</v>
      </c>
      <c r="D14" s="13">
        <f>COUNTIFS(Matriz_Riesgos!$L$4:$L$34,$A14,Matriz_Riesgos!$M$4:$M$34,D$13)</f>
        <v>0</v>
      </c>
      <c r="E14" s="13">
        <f>COUNTIFS(Matriz_Riesgos!$L$4:$L$34,$A14,Matriz_Riesgos!$M$4:$M$34,E$13)</f>
        <v>0</v>
      </c>
    </row>
    <row r="15" spans="1:5" ht="30" customHeight="1" x14ac:dyDescent="0.3">
      <c r="A15" s="7" t="s">
        <v>6</v>
      </c>
      <c r="B15" s="11">
        <f>COUNTIFS(Matriz_Riesgos!$L$4:$L$34,$A15,Matriz_Riesgos!$M$4:$M$34,B$13)</f>
        <v>6</v>
      </c>
      <c r="C15" s="12">
        <f>COUNTIFS(Matriz_Riesgos!$L$4:$L$34,$A15,Matriz_Riesgos!$M$4:$M$34,C$13)</f>
        <v>0</v>
      </c>
      <c r="D15" s="13">
        <f>COUNTIFS(Matriz_Riesgos!$L$4:$L$34,$A15,Matriz_Riesgos!$M$4:$M$34,D$13)</f>
        <v>0</v>
      </c>
      <c r="E15" s="13">
        <f>COUNTIFS(Matriz_Riesgos!$L$4:$L$34,$A15,Matriz_Riesgos!$M$4:$M$34,E$13)</f>
        <v>0</v>
      </c>
    </row>
    <row r="16" spans="1:5" ht="30" customHeight="1" x14ac:dyDescent="0.3">
      <c r="A16" s="7" t="s">
        <v>8</v>
      </c>
      <c r="B16" s="14">
        <f>COUNTIFS(Matriz_Riesgos!$L$4:$L$34,$A16,Matriz_Riesgos!$M$4:$M$34,B$13)</f>
        <v>10</v>
      </c>
      <c r="C16" s="11">
        <f>COUNTIFS(Matriz_Riesgos!$L$4:$L$34,$A16,Matriz_Riesgos!$M$4:$M$34,C$13)</f>
        <v>1</v>
      </c>
      <c r="D16" s="12">
        <f>COUNTIFS(Matriz_Riesgos!$L$4:$L$34,$A16,Matriz_Riesgos!$M$4:$M$34,D$13)</f>
        <v>0</v>
      </c>
      <c r="E16" s="12">
        <f>COUNTIFS(Matriz_Riesgos!$L$4:$L$34,$A16,Matriz_Riesgos!$M$4:$M$34,E$13)</f>
        <v>0</v>
      </c>
    </row>
    <row r="17" spans="1:5" ht="30" customHeight="1" x14ac:dyDescent="0.3">
      <c r="A17" s="7" t="s">
        <v>10</v>
      </c>
      <c r="B17" s="14">
        <f>COUNTIFS(Matriz_Riesgos!$L$4:$L$34,$A17,Matriz_Riesgos!$M$4:$M$34,B$13)</f>
        <v>6</v>
      </c>
      <c r="C17" s="14">
        <f>COUNTIFS(Matriz_Riesgos!$L$4:$L$34,$A17,Matriz_Riesgos!$M$4:$M$34,C$13)</f>
        <v>0</v>
      </c>
      <c r="D17" s="11">
        <f>COUNTIFS(Matriz_Riesgos!$L$4:$L$34,$A17,Matriz_Riesgos!$M$4:$M$34,D$13)</f>
        <v>0</v>
      </c>
      <c r="E17" s="11">
        <f>COUNTIFS(Matriz_Riesgos!$L$4:$L$34,$A17,Matriz_Riesgos!$M$4:$M$34,E$13)</f>
        <v>0</v>
      </c>
    </row>
    <row r="18" spans="1:5" x14ac:dyDescent="0.3">
      <c r="A18" s="6" t="s">
        <v>144</v>
      </c>
      <c r="B18" s="6">
        <f>SUM(B14:E17)</f>
        <v>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5"/>
  <sheetViews>
    <sheetView zoomScaleNormal="100" workbookViewId="0">
      <pane ySplit="4" topLeftCell="A5" activePane="bottomLeft" state="frozen"/>
      <selection pane="bottomLeft" activeCell="A5" sqref="A5"/>
    </sheetView>
  </sheetViews>
  <sheetFormatPr baseColWidth="10" defaultColWidth="8.6640625" defaultRowHeight="14.4" x14ac:dyDescent="0.3"/>
  <cols>
    <col min="1" max="1" width="7" customWidth="1"/>
    <col min="2" max="2" width="8" customWidth="1"/>
    <col min="3" max="3" width="36" customWidth="1"/>
    <col min="4" max="4" width="20" customWidth="1"/>
    <col min="5" max="5" width="66" customWidth="1"/>
    <col min="6" max="6" width="9" customWidth="1"/>
    <col min="7" max="7" width="12" customWidth="1"/>
    <col min="8" max="8" width="9" customWidth="1"/>
  </cols>
  <sheetData>
    <row r="1" spans="1:8" ht="17.399999999999999" x14ac:dyDescent="0.3">
      <c r="A1" s="1" t="s">
        <v>146</v>
      </c>
    </row>
    <row r="4" spans="1:8" x14ac:dyDescent="0.3">
      <c r="A4" s="3" t="s">
        <v>147</v>
      </c>
      <c r="B4" s="3" t="s">
        <v>35</v>
      </c>
      <c r="C4" s="3" t="s">
        <v>37</v>
      </c>
      <c r="D4" s="3" t="s">
        <v>38</v>
      </c>
      <c r="E4" s="3" t="s">
        <v>39</v>
      </c>
      <c r="F4" s="3" t="s">
        <v>42</v>
      </c>
      <c r="G4" s="3" t="s">
        <v>148</v>
      </c>
      <c r="H4" s="3" t="s">
        <v>149</v>
      </c>
    </row>
    <row r="5" spans="1:8" x14ac:dyDescent="0.3">
      <c r="A5" s="7">
        <v>1</v>
      </c>
      <c r="B5" s="9" t="str">
        <f>INDEX(Matriz_Riesgos!$A$4:$A$34,MATCH($A5,Matriz_Riesgos!$R$4:$R$34,0))</f>
        <v>T01</v>
      </c>
      <c r="C5" s="15" t="str">
        <f>INDEX(Matriz_Riesgos!$C$4:$C$34,MATCH($B5,Matriz_Riesgos!$A$4:$A$34,0))</f>
        <v>P01 Microsoft Entra ID</v>
      </c>
      <c r="D5" s="9" t="str">
        <f>INDEX(Matriz_Riesgos!$D$4:$D$34,MATCH($B5,Matriz_Riesgos!$A$4:$A$34,0))</f>
        <v>Spoofing</v>
      </c>
      <c r="E5" s="15" t="str">
        <f>INDEX(Matriz_Riesgos!$E$4:$E$34,MATCH($B5,Matriz_Riesgos!$A$4:$A$34,0))</f>
        <v>Suplantación de usuarios financieros por phishing/AiTM y fatiga de MFA</v>
      </c>
      <c r="F5" s="9">
        <f>INDEX(Matriz_Riesgos!$J$4:$J$34,MATCH($B5,Matriz_Riesgos!$A$4:$A$34,0))</f>
        <v>12</v>
      </c>
      <c r="G5" s="9" t="str">
        <f>INDEX(Matriz_Riesgos!$K$4:$K$34,MATCH($B5,Matriz_Riesgos!$A$4:$A$34,0))</f>
        <v>Crítico</v>
      </c>
      <c r="H5" s="7" t="str">
        <f t="shared" ref="H5:H35" si="0">IF(A5&lt;=10,"Top 10","")</f>
        <v>Top 10</v>
      </c>
    </row>
    <row r="6" spans="1:8" x14ac:dyDescent="0.3">
      <c r="A6" s="7">
        <v>2</v>
      </c>
      <c r="B6" s="9" t="str">
        <f>INDEX(Matriz_Riesgos!$A$4:$A$34,MATCH($A6,Matriz_Riesgos!$R$4:$R$34,0))</f>
        <v>T03</v>
      </c>
      <c r="C6" s="15" t="str">
        <f>INDEX(Matriz_Riesgos!$C$4:$C$34,MATCH($B6,Matriz_Riesgos!$A$4:$A$34,0))</f>
        <v>P02 D365 F&amp;O - Finanzas</v>
      </c>
      <c r="D6" s="9" t="str">
        <f>INDEX(Matriz_Riesgos!$D$4:$D$34,MATCH($B6,Matriz_Riesgos!$A$4:$A$34,0))</f>
        <v>Elevation of Privilege</v>
      </c>
      <c r="E6" s="15" t="str">
        <f>INDEX(Matriz_Riesgos!$E$4:$E$34,MATCH($B6,Matriz_Riesgos!$A$4:$A$34,0))</f>
        <v>Violación de segregación de funciones por acumulación de roles</v>
      </c>
      <c r="F6" s="9">
        <f>INDEX(Matriz_Riesgos!$J$4:$J$34,MATCH($B6,Matriz_Riesgos!$A$4:$A$34,0))</f>
        <v>12</v>
      </c>
      <c r="G6" s="9" t="str">
        <f>INDEX(Matriz_Riesgos!$K$4:$K$34,MATCH($B6,Matriz_Riesgos!$A$4:$A$34,0))</f>
        <v>Crítico</v>
      </c>
      <c r="H6" s="7" t="str">
        <f t="shared" si="0"/>
        <v>Top 10</v>
      </c>
    </row>
    <row r="7" spans="1:8" x14ac:dyDescent="0.3">
      <c r="A7" s="7">
        <v>3</v>
      </c>
      <c r="B7" s="9" t="str">
        <f>INDEX(Matriz_Riesgos!$A$4:$A$34,MATCH($A7,Matriz_Riesgos!$R$4:$R$34,0))</f>
        <v>T05</v>
      </c>
      <c r="C7" s="15" t="str">
        <f>INDEX(Matriz_Riesgos!$C$4:$C$34,MATCH($B7,Matriz_Riesgos!$A$4:$A$34,0))</f>
        <v>P03 D365 F&amp;O - Compras</v>
      </c>
      <c r="D7" s="9" t="str">
        <f>INDEX(Matriz_Riesgos!$D$4:$D$34,MATCH($B7,Matriz_Riesgos!$A$4:$A$34,0))</f>
        <v>Tampering</v>
      </c>
      <c r="E7" s="15" t="str">
        <f>INDEX(Matriz_Riesgos!$E$4:$E$34,MATCH($B7,Matriz_Riesgos!$A$4:$A$34,0))</f>
        <v>Alteración de datos maestros de proveedores (cuenta bancaria)</v>
      </c>
      <c r="F7" s="9">
        <f>INDEX(Matriz_Riesgos!$J$4:$J$34,MATCH($B7,Matriz_Riesgos!$A$4:$A$34,0))</f>
        <v>12</v>
      </c>
      <c r="G7" s="9" t="str">
        <f>INDEX(Matriz_Riesgos!$K$4:$K$34,MATCH($B7,Matriz_Riesgos!$A$4:$A$34,0))</f>
        <v>Crítico</v>
      </c>
      <c r="H7" s="7" t="str">
        <f t="shared" si="0"/>
        <v>Top 10</v>
      </c>
    </row>
    <row r="8" spans="1:8" x14ac:dyDescent="0.3">
      <c r="A8" s="7">
        <v>4</v>
      </c>
      <c r="B8" s="9" t="str">
        <f>INDEX(Matriz_Riesgos!$A$4:$A$34,MATCH($A8,Matriz_Riesgos!$R$4:$R$34,0))</f>
        <v>T02</v>
      </c>
      <c r="C8" s="15" t="str">
        <f>INDEX(Matriz_Riesgos!$C$4:$C$34,MATCH($B8,Matriz_Riesgos!$A$4:$A$34,0))</f>
        <v>EE04 Proveedor externo</v>
      </c>
      <c r="D8" s="9" t="str">
        <f>INDEX(Matriz_Riesgos!$D$4:$D$34,MATCH($B8,Matriz_Riesgos!$A$4:$A$34,0))</f>
        <v>Spoofing</v>
      </c>
      <c r="E8" s="15" t="str">
        <f>INDEX(Matriz_Riesgos!$E$4:$E$34,MATCH($B8,Matriz_Riesgos!$A$4:$A$34,0))</f>
        <v>Suplantación de proveedor externo en el portal de colaboración</v>
      </c>
      <c r="F8" s="9">
        <f>INDEX(Matriz_Riesgos!$J$4:$J$34,MATCH($B8,Matriz_Riesgos!$A$4:$A$34,0))</f>
        <v>9</v>
      </c>
      <c r="G8" s="9" t="str">
        <f>INDEX(Matriz_Riesgos!$K$4:$K$34,MATCH($B8,Matriz_Riesgos!$A$4:$A$34,0))</f>
        <v>Crítico</v>
      </c>
      <c r="H8" s="7" t="str">
        <f t="shared" si="0"/>
        <v>Top 10</v>
      </c>
    </row>
    <row r="9" spans="1:8" x14ac:dyDescent="0.3">
      <c r="A9" s="7">
        <v>5</v>
      </c>
      <c r="B9" s="9" t="str">
        <f>INDEX(Matriz_Riesgos!$A$4:$A$34,MATCH($A9,Matriz_Riesgos!$R$4:$R$34,0))</f>
        <v>T10</v>
      </c>
      <c r="C9" s="15" t="str">
        <f>INDEX(Matriz_Riesgos!$C$4:$C$34,MATCH($B9,Matriz_Riesgos!$A$4:$A$34,0))</f>
        <v>P05 Power BI Service</v>
      </c>
      <c r="D9" s="9" t="str">
        <f>INDEX(Matriz_Riesgos!$D$4:$D$34,MATCH($B9,Matriz_Riesgos!$A$4:$A$34,0))</f>
        <v>Information Disclosure</v>
      </c>
      <c r="E9" s="15" t="str">
        <f>INDEX(Matriz_Riesgos!$E$4:$E$34,MATCH($B9,Matriz_Riesgos!$A$4:$A$34,0))</f>
        <v>Fuga de datos financieros mediante Power BI</v>
      </c>
      <c r="F9" s="9">
        <f>INDEX(Matriz_Riesgos!$J$4:$J$34,MATCH($B9,Matriz_Riesgos!$A$4:$A$34,0))</f>
        <v>9</v>
      </c>
      <c r="G9" s="9" t="str">
        <f>INDEX(Matriz_Riesgos!$K$4:$K$34,MATCH($B9,Matriz_Riesgos!$A$4:$A$34,0))</f>
        <v>Crítico</v>
      </c>
      <c r="H9" s="7" t="str">
        <f t="shared" si="0"/>
        <v>Top 10</v>
      </c>
    </row>
    <row r="10" spans="1:8" x14ac:dyDescent="0.3">
      <c r="A10" s="7">
        <v>6</v>
      </c>
      <c r="B10" s="9" t="str">
        <f>INDEX(Matriz_Riesgos!$A$4:$A$34,MATCH($A10,Matriz_Riesgos!$R$4:$R$34,0))</f>
        <v>T25</v>
      </c>
      <c r="C10" s="15" t="str">
        <f>INDEX(Matriz_Riesgos!$C$4:$C$34,MATCH($B10,Matriz_Riesgos!$A$4:$A$34,0))</f>
        <v>P04.3 Conector bancario (firma y cifrado)</v>
      </c>
      <c r="D10" s="9" t="str">
        <f>INDEX(Matriz_Riesgos!$D$4:$D$34,MATCH($B10,Matriz_Riesgos!$A$4:$A$34,0))</f>
        <v>Information Disclosure</v>
      </c>
      <c r="E10" s="15" t="str">
        <f>INDEX(Matriz_Riesgos!$E$4:$E$34,MATCH($B10,Matriz_Riesgos!$A$4:$A$34,0))</f>
        <v>Exposición de datos de pago en el historial de ejecución</v>
      </c>
      <c r="F10" s="9">
        <f>INDEX(Matriz_Riesgos!$J$4:$J$34,MATCH($B10,Matriz_Riesgos!$A$4:$A$34,0))</f>
        <v>9</v>
      </c>
      <c r="G10" s="9" t="str">
        <f>INDEX(Matriz_Riesgos!$K$4:$K$34,MATCH($B10,Matriz_Riesgos!$A$4:$A$34,0))</f>
        <v>Crítico</v>
      </c>
      <c r="H10" s="7" t="str">
        <f t="shared" si="0"/>
        <v>Top 10</v>
      </c>
    </row>
    <row r="11" spans="1:8" x14ac:dyDescent="0.3">
      <c r="A11" s="7">
        <v>7</v>
      </c>
      <c r="B11" s="9" t="str">
        <f>INDEX(Matriz_Riesgos!$A$4:$A$34,MATCH($A11,Matriz_Riesgos!$R$4:$R$34,0))</f>
        <v>T04</v>
      </c>
      <c r="C11" s="15" t="str">
        <f>INDEX(Matriz_Riesgos!$C$4:$C$34,MATCH($B11,Matriz_Riesgos!$A$4:$A$34,0))</f>
        <v>P01 Microsoft Entra ID</v>
      </c>
      <c r="D11" s="9" t="str">
        <f>INDEX(Matriz_Riesgos!$D$4:$D$34,MATCH($B11,Matriz_Riesgos!$A$4:$A$34,0))</f>
        <v>Elevation of Privilege</v>
      </c>
      <c r="E11" s="15" t="str">
        <f>INDEX(Matriz_Riesgos!$E$4:$E$34,MATCH($B11,Matriz_Riesgos!$A$4:$A$34,0))</f>
        <v>Compromiso de cuenta administrativa con privilegios permanentes</v>
      </c>
      <c r="F11" s="9">
        <f>INDEX(Matriz_Riesgos!$J$4:$J$34,MATCH($B11,Matriz_Riesgos!$A$4:$A$34,0))</f>
        <v>8</v>
      </c>
      <c r="G11" s="9" t="str">
        <f>INDEX(Matriz_Riesgos!$K$4:$K$34,MATCH($B11,Matriz_Riesgos!$A$4:$A$34,0))</f>
        <v>Alto</v>
      </c>
      <c r="H11" s="7" t="str">
        <f t="shared" si="0"/>
        <v>Top 10</v>
      </c>
    </row>
    <row r="12" spans="1:8" x14ac:dyDescent="0.3">
      <c r="A12" s="7">
        <v>8</v>
      </c>
      <c r="B12" s="9" t="str">
        <f>INDEX(Matriz_Riesgos!$A$4:$A$34,MATCH($A12,Matriz_Riesgos!$R$4:$R$34,0))</f>
        <v>T22</v>
      </c>
      <c r="C12" s="15" t="str">
        <f>INDEX(Matriz_Riesgos!$C$4:$C$34,MATCH($B12,Matriz_Riesgos!$A$4:$A$34,0))</f>
        <v>F2-02 Lote de pago aprobado (OData)</v>
      </c>
      <c r="D12" s="9" t="str">
        <f>INDEX(Matriz_Riesgos!$D$4:$D$34,MATCH($B12,Matriz_Riesgos!$A$4:$A$34,0))</f>
        <v>Tampering</v>
      </c>
      <c r="E12" s="15" t="str">
        <f>INDEX(Matriz_Riesgos!$E$4:$E$34,MATCH($B12,Matriz_Riesgos!$A$4:$A$34,0))</f>
        <v>Alteración del lote de pago aprobado (beneficiario, monto o cuenta)</v>
      </c>
      <c r="F12" s="9">
        <f>INDEX(Matriz_Riesgos!$J$4:$J$34,MATCH($B12,Matriz_Riesgos!$A$4:$A$34,0))</f>
        <v>8</v>
      </c>
      <c r="G12" s="9" t="str">
        <f>INDEX(Matriz_Riesgos!$K$4:$K$34,MATCH($B12,Matriz_Riesgos!$A$4:$A$34,0))</f>
        <v>Alto</v>
      </c>
      <c r="H12" s="7" t="str">
        <f t="shared" si="0"/>
        <v>Top 10</v>
      </c>
    </row>
    <row r="13" spans="1:8" x14ac:dyDescent="0.3">
      <c r="A13" s="7">
        <v>9</v>
      </c>
      <c r="B13" s="9" t="str">
        <f>INDEX(Matriz_Riesgos!$A$4:$A$34,MATCH($A13,Matriz_Riesgos!$R$4:$R$34,0))</f>
        <v>T23</v>
      </c>
      <c r="C13" s="15" t="str">
        <f>INDEX(Matriz_Riesgos!$C$4:$C$34,MATCH($B13,Matriz_Riesgos!$A$4:$A$34,0))</f>
        <v>P04.2 Azure Service Bus</v>
      </c>
      <c r="D13" s="9" t="str">
        <f>INDEX(Matriz_Riesgos!$D$4:$D$34,MATCH($B13,Matriz_Riesgos!$A$4:$A$34,0))</f>
        <v>Tampering</v>
      </c>
      <c r="E13" s="15" t="str">
        <f>INDEX(Matriz_Riesgos!$E$4:$E$34,MATCH($B13,Matriz_Riesgos!$A$4:$A$34,0))</f>
        <v>Inyección de mensajes de pago falsos en Service Bus</v>
      </c>
      <c r="F13" s="9">
        <f>INDEX(Matriz_Riesgos!$J$4:$J$34,MATCH($B13,Matriz_Riesgos!$A$4:$A$34,0))</f>
        <v>8</v>
      </c>
      <c r="G13" s="9" t="str">
        <f>INDEX(Matriz_Riesgos!$K$4:$K$34,MATCH($B13,Matriz_Riesgos!$A$4:$A$34,0))</f>
        <v>Alto</v>
      </c>
      <c r="H13" s="7" t="str">
        <f t="shared" si="0"/>
        <v>Top 10</v>
      </c>
    </row>
    <row r="14" spans="1:8" x14ac:dyDescent="0.3">
      <c r="A14" s="7">
        <v>10</v>
      </c>
      <c r="B14" s="9" t="str">
        <f>INDEX(Matriz_Riesgos!$A$4:$A$34,MATCH($A14,Matriz_Riesgos!$R$4:$R$34,0))</f>
        <v>T24</v>
      </c>
      <c r="C14" s="15" t="str">
        <f>INDEX(Matriz_Riesgos!$C$4:$C$34,MATCH($B14,Matriz_Riesgos!$A$4:$A$34,0))</f>
        <v>P04.1 Azure Logic Apps (orquestador)</v>
      </c>
      <c r="D14" s="9" t="str">
        <f>INDEX(Matriz_Riesgos!$D$4:$D$34,MATCH($B14,Matriz_Riesgos!$A$4:$A$34,0))</f>
        <v>Spoofing</v>
      </c>
      <c r="E14" s="15" t="str">
        <f>INDEX(Matriz_Riesgos!$E$4:$E$34,MATCH($B14,Matriz_Riesgos!$A$4:$A$34,0))</f>
        <v>Invocación no autorizada del flujo de Logic Apps</v>
      </c>
      <c r="F14" s="9">
        <f>INDEX(Matriz_Riesgos!$J$4:$J$34,MATCH($B14,Matriz_Riesgos!$A$4:$A$34,0))</f>
        <v>8</v>
      </c>
      <c r="G14" s="9" t="str">
        <f>INDEX(Matriz_Riesgos!$K$4:$K$34,MATCH($B14,Matriz_Riesgos!$A$4:$A$34,0))</f>
        <v>Alto</v>
      </c>
      <c r="H14" s="7" t="str">
        <f t="shared" si="0"/>
        <v>Top 10</v>
      </c>
    </row>
    <row r="15" spans="1:8" ht="26.4" x14ac:dyDescent="0.3">
      <c r="A15" s="7">
        <v>11</v>
      </c>
      <c r="B15" s="9" t="str">
        <f>INDEX(Matriz_Riesgos!$A$4:$A$34,MATCH($A15,Matriz_Riesgos!$R$4:$R$34,0))</f>
        <v>T09</v>
      </c>
      <c r="C15" s="15" t="str">
        <f>INDEX(Matriz_Riesgos!$C$4:$C$34,MATCH($B15,Matriz_Riesgos!$A$4:$A$34,0))</f>
        <v>DS01 Base de datos de D365</v>
      </c>
      <c r="D15" s="9" t="str">
        <f>INDEX(Matriz_Riesgos!$D$4:$D$34,MATCH($B15,Matriz_Riesgos!$A$4:$A$34,0))</f>
        <v>Information Disclosure</v>
      </c>
      <c r="E15" s="15" t="str">
        <f>INDEX(Matriz_Riesgos!$E$4:$E$34,MATCH($B15,Matriz_Riesgos!$A$4:$A$34,0))</f>
        <v>Exposición de datos financieros y de proveedores por permisos excesivos y exportaciones</v>
      </c>
      <c r="F15" s="9">
        <f>INDEX(Matriz_Riesgos!$J$4:$J$34,MATCH($B15,Matriz_Riesgos!$A$4:$A$34,0))</f>
        <v>8</v>
      </c>
      <c r="G15" s="9" t="str">
        <f>INDEX(Matriz_Riesgos!$K$4:$K$34,MATCH($B15,Matriz_Riesgos!$A$4:$A$34,0))</f>
        <v>Alto</v>
      </c>
      <c r="H15" s="7" t="str">
        <f t="shared" si="0"/>
        <v/>
      </c>
    </row>
    <row r="16" spans="1:8" x14ac:dyDescent="0.3">
      <c r="A16" s="7">
        <v>12</v>
      </c>
      <c r="B16" s="9" t="str">
        <f>INDEX(Matriz_Riesgos!$A$4:$A$34,MATCH($A16,Matriz_Riesgos!$R$4:$R$34,0))</f>
        <v>T11</v>
      </c>
      <c r="C16" s="15" t="str">
        <f>INDEX(Matriz_Riesgos!$C$4:$C$34,MATCH($B16,Matriz_Riesgos!$A$4:$A$34,0))</f>
        <v>DS02 Azure Key Vault</v>
      </c>
      <c r="D16" s="9" t="str">
        <f>INDEX(Matriz_Riesgos!$D$4:$D$34,MATCH($B16,Matriz_Riesgos!$A$4:$A$34,0))</f>
        <v>Information Disclosure</v>
      </c>
      <c r="E16" s="15" t="str">
        <f>INDEX(Matriz_Riesgos!$E$4:$E$34,MATCH($B16,Matriz_Riesgos!$A$4:$A$34,0))</f>
        <v>Exposición de certificados y credenciales bancarias en Key Vault</v>
      </c>
      <c r="F16" s="9">
        <f>INDEX(Matriz_Riesgos!$J$4:$J$34,MATCH($B16,Matriz_Riesgos!$A$4:$A$34,0))</f>
        <v>8</v>
      </c>
      <c r="G16" s="9" t="str">
        <f>INDEX(Matriz_Riesgos!$K$4:$K$34,MATCH($B16,Matriz_Riesgos!$A$4:$A$34,0))</f>
        <v>Alto</v>
      </c>
      <c r="H16" s="7" t="str">
        <f t="shared" si="0"/>
        <v/>
      </c>
    </row>
    <row r="17" spans="1:8" x14ac:dyDescent="0.3">
      <c r="A17" s="7">
        <v>13</v>
      </c>
      <c r="B17" s="9" t="str">
        <f>INDEX(Matriz_Riesgos!$A$4:$A$34,MATCH($A17,Matriz_Riesgos!$R$4:$R$34,0))</f>
        <v>T26</v>
      </c>
      <c r="C17" s="15" t="str">
        <f>INDEX(Matriz_Riesgos!$C$4:$C$34,MATCH($B17,Matriz_Riesgos!$A$4:$A$34,0))</f>
        <v>P04.3 Conector bancario (firma y cifrado)</v>
      </c>
      <c r="D17" s="9" t="str">
        <f>INDEX(Matriz_Riesgos!$D$4:$D$34,MATCH($B17,Matriz_Riesgos!$A$4:$A$34,0))</f>
        <v>Elevation of Privilege</v>
      </c>
      <c r="E17" s="15" t="str">
        <f>INDEX(Matriz_Riesgos!$E$4:$E$34,MATCH($B17,Matriz_Riesgos!$A$4:$A$34,0))</f>
        <v>Uso indebido de la clave de firma por una identidad no autorizada</v>
      </c>
      <c r="F17" s="9">
        <f>INDEX(Matriz_Riesgos!$J$4:$J$34,MATCH($B17,Matriz_Riesgos!$A$4:$A$34,0))</f>
        <v>8</v>
      </c>
      <c r="G17" s="9" t="str">
        <f>INDEX(Matriz_Riesgos!$K$4:$K$34,MATCH($B17,Matriz_Riesgos!$A$4:$A$34,0))</f>
        <v>Alto</v>
      </c>
      <c r="H17" s="7" t="str">
        <f t="shared" si="0"/>
        <v/>
      </c>
    </row>
    <row r="18" spans="1:8" ht="26.4" x14ac:dyDescent="0.3">
      <c r="A18" s="7">
        <v>14</v>
      </c>
      <c r="B18" s="9" t="str">
        <f>INDEX(Matriz_Riesgos!$A$4:$A$34,MATCH($A18,Matriz_Riesgos!$R$4:$R$34,0))</f>
        <v>T06</v>
      </c>
      <c r="C18" s="15" t="str">
        <f>INDEX(Matriz_Riesgos!$C$4:$C$34,MATCH($B18,Matriz_Riesgos!$A$4:$A$34,0))</f>
        <v>F1-07 Transacciones contables y pagos</v>
      </c>
      <c r="D18" s="9" t="str">
        <f>INDEX(Matriz_Riesgos!$D$4:$D$34,MATCH($B18,Matriz_Riesgos!$A$4:$A$34,0))</f>
        <v>Tampering</v>
      </c>
      <c r="E18" s="15" t="str">
        <f>INDEX(Matriz_Riesgos!$E$4:$E$34,MATCH($B18,Matriz_Riesgos!$A$4:$A$34,0))</f>
        <v>Manipulación de transacciones en tránsito o desde un navegador comprometido</v>
      </c>
      <c r="F18" s="9">
        <f>INDEX(Matriz_Riesgos!$J$4:$J$34,MATCH($B18,Matriz_Riesgos!$A$4:$A$34,0))</f>
        <v>6</v>
      </c>
      <c r="G18" s="9" t="str">
        <f>INDEX(Matriz_Riesgos!$K$4:$K$34,MATCH($B18,Matriz_Riesgos!$A$4:$A$34,0))</f>
        <v>Alto</v>
      </c>
      <c r="H18" s="7" t="str">
        <f t="shared" si="0"/>
        <v/>
      </c>
    </row>
    <row r="19" spans="1:8" x14ac:dyDescent="0.3">
      <c r="A19" s="7">
        <v>15</v>
      </c>
      <c r="B19" s="9" t="str">
        <f>INDEX(Matriz_Riesgos!$A$4:$A$34,MATCH($A19,Matriz_Riesgos!$R$4:$R$34,0))</f>
        <v>T07</v>
      </c>
      <c r="C19" s="15" t="str">
        <f>INDEX(Matriz_Riesgos!$C$4:$C$34,MATCH($B19,Matriz_Riesgos!$A$4:$A$34,0))</f>
        <v>P02 D365 F&amp;O - Finanzas</v>
      </c>
      <c r="D19" s="9" t="str">
        <f>INDEX(Matriz_Riesgos!$D$4:$D$34,MATCH($B19,Matriz_Riesgos!$A$4:$A$34,0))</f>
        <v>Repudiation</v>
      </c>
      <c r="E19" s="15" t="str">
        <f>INDEX(Matriz_Riesgos!$E$4:$E$34,MATCH($B19,Matriz_Riesgos!$A$4:$A$34,0))</f>
        <v>Negación de aprobaciones y pagos por trazabilidad insuficiente</v>
      </c>
      <c r="F19" s="9">
        <f>INDEX(Matriz_Riesgos!$J$4:$J$34,MATCH($B19,Matriz_Riesgos!$A$4:$A$34,0))</f>
        <v>6</v>
      </c>
      <c r="G19" s="9" t="str">
        <f>INDEX(Matriz_Riesgos!$K$4:$K$34,MATCH($B19,Matriz_Riesgos!$A$4:$A$34,0))</f>
        <v>Alto</v>
      </c>
      <c r="H19" s="7" t="str">
        <f t="shared" si="0"/>
        <v/>
      </c>
    </row>
    <row r="20" spans="1:8" x14ac:dyDescent="0.3">
      <c r="A20" s="7">
        <v>16</v>
      </c>
      <c r="B20" s="9" t="str">
        <f>INDEX(Matriz_Riesgos!$A$4:$A$34,MATCH($A20,Matriz_Riesgos!$R$4:$R$34,0))</f>
        <v>T12</v>
      </c>
      <c r="C20" s="15" t="str">
        <f>INDEX(Matriz_Riesgos!$C$4:$C$34,MATCH($B20,Matriz_Riesgos!$A$4:$A$34,0))</f>
        <v>P02 D365 F&amp;O - Finanzas</v>
      </c>
      <c r="D20" s="9" t="str">
        <f>INDEX(Matriz_Riesgos!$D$4:$D$34,MATCH($B20,Matriz_Riesgos!$A$4:$A$34,0))</f>
        <v>Denial of Service</v>
      </c>
      <c r="E20" s="15" t="str">
        <f>INDEX(Matriz_Riesgos!$E$4:$E$34,MATCH($B20,Matriz_Riesgos!$A$4:$A$34,0))</f>
        <v>Indisponibilidad de D365 durante cierres contables</v>
      </c>
      <c r="F20" s="9">
        <f>INDEX(Matriz_Riesgos!$J$4:$J$34,MATCH($B20,Matriz_Riesgos!$A$4:$A$34,0))</f>
        <v>6</v>
      </c>
      <c r="G20" s="9" t="str">
        <f>INDEX(Matriz_Riesgos!$K$4:$K$34,MATCH($B20,Matriz_Riesgos!$A$4:$A$34,0))</f>
        <v>Alto</v>
      </c>
      <c r="H20" s="7" t="str">
        <f t="shared" si="0"/>
        <v/>
      </c>
    </row>
    <row r="21" spans="1:8" x14ac:dyDescent="0.3">
      <c r="A21" s="7">
        <v>17</v>
      </c>
      <c r="B21" s="9" t="str">
        <f>INDEX(Matriz_Riesgos!$A$4:$A$34,MATCH($A21,Matriz_Riesgos!$R$4:$R$34,0))</f>
        <v>T13</v>
      </c>
      <c r="C21" s="15" t="str">
        <f>INDEX(Matriz_Riesgos!$C$4:$C$34,MATCH($B21,Matriz_Riesgos!$A$4:$A$34,0))</f>
        <v>P04 Integración bancaria</v>
      </c>
      <c r="D21" s="9" t="str">
        <f>INDEX(Matriz_Riesgos!$D$4:$D$34,MATCH($B21,Matriz_Riesgos!$A$4:$A$34,0))</f>
        <v>Denial of Service</v>
      </c>
      <c r="E21" s="15" t="str">
        <f>INDEX(Matriz_Riesgos!$E$4:$E$34,MATCH($B21,Matriz_Riesgos!$A$4:$A$34,0))</f>
        <v>Interrupción de la integración bancaria</v>
      </c>
      <c r="F21" s="9">
        <f>INDEX(Matriz_Riesgos!$J$4:$J$34,MATCH($B21,Matriz_Riesgos!$A$4:$A$34,0))</f>
        <v>6</v>
      </c>
      <c r="G21" s="9" t="str">
        <f>INDEX(Matriz_Riesgos!$K$4:$K$34,MATCH($B21,Matriz_Riesgos!$A$4:$A$34,0))</f>
        <v>Alto</v>
      </c>
      <c r="H21" s="7" t="str">
        <f t="shared" si="0"/>
        <v/>
      </c>
    </row>
    <row r="22" spans="1:8" ht="26.4" x14ac:dyDescent="0.3">
      <c r="A22" s="7">
        <v>18</v>
      </c>
      <c r="B22" s="9" t="str">
        <f>INDEX(Matriz_Riesgos!$A$4:$A$34,MATCH($A22,Matriz_Riesgos!$R$4:$R$34,0))</f>
        <v>T14</v>
      </c>
      <c r="C22" s="15" t="str">
        <f>INDEX(Matriz_Riesgos!$C$4:$C$34,MATCH($B22,Matriz_Riesgos!$A$4:$A$34,0))</f>
        <v>P04 Integración bancaria</v>
      </c>
      <c r="D22" s="9" t="str">
        <f>INDEX(Matriz_Riesgos!$D$4:$D$34,MATCH($B22,Matriz_Riesgos!$A$4:$A$34,0))</f>
        <v>Spoofing</v>
      </c>
      <c r="E22" s="15" t="str">
        <f>INDEX(Matriz_Riesgos!$E$4:$E$34,MATCH($B22,Matriz_Riesgos!$A$4:$A$34,0))</f>
        <v>Identidad de servicio (app registration) sobre-privilegiada o con secreto expuesto en OData</v>
      </c>
      <c r="F22" s="9">
        <f>INDEX(Matriz_Riesgos!$J$4:$J$34,MATCH($B22,Matriz_Riesgos!$A$4:$A$34,0))</f>
        <v>6</v>
      </c>
      <c r="G22" s="9" t="str">
        <f>INDEX(Matriz_Riesgos!$K$4:$K$34,MATCH($B22,Matriz_Riesgos!$A$4:$A$34,0))</f>
        <v>Alto</v>
      </c>
      <c r="H22" s="7" t="str">
        <f t="shared" si="0"/>
        <v/>
      </c>
    </row>
    <row r="23" spans="1:8" x14ac:dyDescent="0.3">
      <c r="A23" s="7">
        <v>19</v>
      </c>
      <c r="B23" s="9" t="str">
        <f>INDEX(Matriz_Riesgos!$A$4:$A$34,MATCH($A23,Matriz_Riesgos!$R$4:$R$34,0))</f>
        <v>T28</v>
      </c>
      <c r="C23" s="15" t="str">
        <f>INDEX(Matriz_Riesgos!$C$4:$C$34,MATCH($B23,Matriz_Riesgos!$A$4:$A$34,0))</f>
        <v>EE07 Aprobador de pagos (Tesorería)</v>
      </c>
      <c r="D23" s="9" t="str">
        <f>INDEX(Matriz_Riesgos!$D$4:$D$34,MATCH($B23,Matriz_Riesgos!$A$4:$A$34,0))</f>
        <v>Repudiation</v>
      </c>
      <c r="E23" s="15" t="str">
        <f>INDEX(Matriz_Riesgos!$E$4:$E$34,MATCH($B23,Matriz_Riesgos!$A$4:$A$34,0))</f>
        <v>El aprobador niega haber autorizado un lote de pago</v>
      </c>
      <c r="F23" s="9">
        <f>INDEX(Matriz_Riesgos!$J$4:$J$34,MATCH($B23,Matriz_Riesgos!$A$4:$A$34,0))</f>
        <v>6</v>
      </c>
      <c r="G23" s="9" t="str">
        <f>INDEX(Matriz_Riesgos!$K$4:$K$34,MATCH($B23,Matriz_Riesgos!$A$4:$A$34,0))</f>
        <v>Alto</v>
      </c>
      <c r="H23" s="7" t="str">
        <f t="shared" si="0"/>
        <v/>
      </c>
    </row>
    <row r="24" spans="1:8" x14ac:dyDescent="0.3">
      <c r="A24" s="7">
        <v>20</v>
      </c>
      <c r="B24" s="9" t="str">
        <f>INDEX(Matriz_Riesgos!$A$4:$A$34,MATCH($A24,Matriz_Riesgos!$R$4:$R$34,0))</f>
        <v>T15</v>
      </c>
      <c r="C24" s="15" t="str">
        <f>INDEX(Matriz_Riesgos!$C$4:$C$34,MATCH($B24,Matriz_Riesgos!$A$4:$A$34,0))</f>
        <v>F1-10 Confirmaciones de OC y facturas</v>
      </c>
      <c r="D24" s="9" t="str">
        <f>INDEX(Matriz_Riesgos!$D$4:$D$34,MATCH($B24,Matriz_Riesgos!$A$4:$A$34,0))</f>
        <v>Information Disclosure</v>
      </c>
      <c r="E24" s="15" t="str">
        <f>INDEX(Matriz_Riesgos!$E$4:$E$34,MATCH($B24,Matriz_Riesgos!$A$4:$A$34,0))</f>
        <v>Interceptación de datos en tránsito desde proveedores en Internet</v>
      </c>
      <c r="F24" s="9">
        <f>INDEX(Matriz_Riesgos!$J$4:$J$34,MATCH($B24,Matriz_Riesgos!$A$4:$A$34,0))</f>
        <v>4</v>
      </c>
      <c r="G24" s="9" t="str">
        <f>INDEX(Matriz_Riesgos!$K$4:$K$34,MATCH($B24,Matriz_Riesgos!$A$4:$A$34,0))</f>
        <v>Medio</v>
      </c>
      <c r="H24" s="7" t="str">
        <f t="shared" si="0"/>
        <v/>
      </c>
    </row>
    <row r="25" spans="1:8" x14ac:dyDescent="0.3">
      <c r="A25" s="7">
        <v>21</v>
      </c>
      <c r="B25" s="9" t="str">
        <f>INDEX(Matriz_Riesgos!$A$4:$A$34,MATCH($A25,Matriz_Riesgos!$R$4:$R$34,0))</f>
        <v>T16</v>
      </c>
      <c r="C25" s="15" t="str">
        <f>INDEX(Matriz_Riesgos!$C$4:$C$34,MATCH($B25,Matriz_Riesgos!$A$4:$A$34,0))</f>
        <v>F1-10 Confirmaciones de OC y facturas</v>
      </c>
      <c r="D25" s="9" t="str">
        <f>INDEX(Matriz_Riesgos!$D$4:$D$34,MATCH($B25,Matriz_Riesgos!$A$4:$A$34,0))</f>
        <v>Denial of Service</v>
      </c>
      <c r="E25" s="15" t="str">
        <f>INDEX(Matriz_Riesgos!$E$4:$E$34,MATCH($B25,Matriz_Riesgos!$A$4:$A$34,0))</f>
        <v>Abuso o fuerza bruta contra el portal de proveedores</v>
      </c>
      <c r="F25" s="9">
        <f>INDEX(Matriz_Riesgos!$J$4:$J$34,MATCH($B25,Matriz_Riesgos!$A$4:$A$34,0))</f>
        <v>4</v>
      </c>
      <c r="G25" s="9" t="str">
        <f>INDEX(Matriz_Riesgos!$K$4:$K$34,MATCH($B25,Matriz_Riesgos!$A$4:$A$34,0))</f>
        <v>Medio</v>
      </c>
      <c r="H25" s="7" t="str">
        <f t="shared" si="0"/>
        <v/>
      </c>
    </row>
    <row r="26" spans="1:8" x14ac:dyDescent="0.3">
      <c r="A26" s="7">
        <v>22</v>
      </c>
      <c r="B26" s="9" t="str">
        <f>INDEX(Matriz_Riesgos!$A$4:$A$34,MATCH($A26,Matriz_Riesgos!$R$4:$R$34,0))</f>
        <v>T18</v>
      </c>
      <c r="C26" s="15" t="str">
        <f>INDEX(Matriz_Riesgos!$C$4:$C$34,MATCH($B26,Matriz_Riesgos!$A$4:$A$34,0))</f>
        <v>DS03 Log Analytics / SIEM</v>
      </c>
      <c r="D26" s="9" t="str">
        <f>INDEX(Matriz_Riesgos!$D$4:$D$34,MATCH($B26,Matriz_Riesgos!$A$4:$A$34,0))</f>
        <v>Information Disclosure</v>
      </c>
      <c r="E26" s="15" t="str">
        <f>INDEX(Matriz_Riesgos!$E$4:$E$34,MATCH($B26,Matriz_Riesgos!$A$4:$A$34,0))</f>
        <v>Exposición de datos sensibles en logs</v>
      </c>
      <c r="F26" s="9">
        <f>INDEX(Matriz_Riesgos!$J$4:$J$34,MATCH($B26,Matriz_Riesgos!$A$4:$A$34,0))</f>
        <v>4</v>
      </c>
      <c r="G26" s="9" t="str">
        <f>INDEX(Matriz_Riesgos!$K$4:$K$34,MATCH($B26,Matriz_Riesgos!$A$4:$A$34,0))</f>
        <v>Medio</v>
      </c>
      <c r="H26" s="7" t="str">
        <f t="shared" si="0"/>
        <v/>
      </c>
    </row>
    <row r="27" spans="1:8" x14ac:dyDescent="0.3">
      <c r="A27" s="7">
        <v>23</v>
      </c>
      <c r="B27" s="9" t="str">
        <f>INDEX(Matriz_Riesgos!$A$4:$A$34,MATCH($A27,Matriz_Riesgos!$R$4:$R$34,0))</f>
        <v>T27</v>
      </c>
      <c r="C27" s="15" t="str">
        <f>INDEX(Matriz_Riesgos!$C$4:$C$34,MATCH($B27,Matriz_Riesgos!$A$4:$A$34,0))</f>
        <v>EE06 Banco</v>
      </c>
      <c r="D27" s="9" t="str">
        <f>INDEX(Matriz_Riesgos!$D$4:$D$34,MATCH($B27,Matriz_Riesgos!$A$4:$A$34,0))</f>
        <v>Spoofing</v>
      </c>
      <c r="E27" s="15" t="str">
        <f>INDEX(Matriz_Riesgos!$E$4:$E$34,MATCH($B27,Matriz_Riesgos!$A$4:$A$34,0))</f>
        <v>Suplantación del endpoint del banco en el canal de transmisión</v>
      </c>
      <c r="F27" s="9">
        <f>INDEX(Matriz_Riesgos!$J$4:$J$34,MATCH($B27,Matriz_Riesgos!$A$4:$A$34,0))</f>
        <v>4</v>
      </c>
      <c r="G27" s="9" t="str">
        <f>INDEX(Matriz_Riesgos!$K$4:$K$34,MATCH($B27,Matriz_Riesgos!$A$4:$A$34,0))</f>
        <v>Medio</v>
      </c>
      <c r="H27" s="7" t="str">
        <f t="shared" si="0"/>
        <v/>
      </c>
    </row>
    <row r="28" spans="1:8" x14ac:dyDescent="0.3">
      <c r="A28" s="7">
        <v>24</v>
      </c>
      <c r="B28" s="9" t="str">
        <f>INDEX(Matriz_Riesgos!$A$4:$A$34,MATCH($A28,Matriz_Riesgos!$R$4:$R$34,0))</f>
        <v>T31</v>
      </c>
      <c r="C28" s="15" t="str">
        <f>INDEX(Matriz_Riesgos!$C$4:$C$34,MATCH($B28,Matriz_Riesgos!$A$4:$A$34,0))</f>
        <v>P04.1 Azure Logic Apps (orquestador)</v>
      </c>
      <c r="D28" s="9" t="str">
        <f>INDEX(Matriz_Riesgos!$D$4:$D$34,MATCH($B28,Matriz_Riesgos!$A$4:$A$34,0))</f>
        <v>Denial of Service</v>
      </c>
      <c r="E28" s="15" t="str">
        <f>INDEX(Matriz_Riesgos!$E$4:$E$34,MATCH($B28,Matriz_Riesgos!$A$4:$A$34,0))</f>
        <v>Agotamiento de límites de ejecución por reintentos masivos</v>
      </c>
      <c r="F28" s="9">
        <f>INDEX(Matriz_Riesgos!$J$4:$J$34,MATCH($B28,Matriz_Riesgos!$A$4:$A$34,0))</f>
        <v>4</v>
      </c>
      <c r="G28" s="9" t="str">
        <f>INDEX(Matriz_Riesgos!$K$4:$K$34,MATCH($B28,Matriz_Riesgos!$A$4:$A$34,0))</f>
        <v>Medio</v>
      </c>
      <c r="H28" s="7" t="str">
        <f t="shared" si="0"/>
        <v/>
      </c>
    </row>
    <row r="29" spans="1:8" x14ac:dyDescent="0.3">
      <c r="A29" s="7">
        <v>25</v>
      </c>
      <c r="B29" s="9" t="str">
        <f>INDEX(Matriz_Riesgos!$A$4:$A$34,MATCH($A29,Matriz_Riesgos!$R$4:$R$34,0))</f>
        <v>T08</v>
      </c>
      <c r="C29" s="15" t="str">
        <f>INDEX(Matriz_Riesgos!$C$4:$C$34,MATCH($B29,Matriz_Riesgos!$A$4:$A$34,0))</f>
        <v>EE03 Administrador D365</v>
      </c>
      <c r="D29" s="9" t="str">
        <f>INDEX(Matriz_Riesgos!$D$4:$D$34,MATCH($B29,Matriz_Riesgos!$A$4:$A$34,0))</f>
        <v>Repudiation</v>
      </c>
      <c r="E29" s="15" t="str">
        <f>INDEX(Matriz_Riesgos!$E$4:$E$34,MATCH($B29,Matriz_Riesgos!$A$4:$A$34,0))</f>
        <v>Cambios administrativos sin atribución clara</v>
      </c>
      <c r="F29" s="9">
        <f>INDEX(Matriz_Riesgos!$J$4:$J$34,MATCH($B29,Matriz_Riesgos!$A$4:$A$34,0))</f>
        <v>3</v>
      </c>
      <c r="G29" s="9" t="str">
        <f>INDEX(Matriz_Riesgos!$K$4:$K$34,MATCH($B29,Matriz_Riesgos!$A$4:$A$34,0))</f>
        <v>Medio</v>
      </c>
      <c r="H29" s="7" t="str">
        <f t="shared" si="0"/>
        <v/>
      </c>
    </row>
    <row r="30" spans="1:8" x14ac:dyDescent="0.3">
      <c r="A30" s="7">
        <v>26</v>
      </c>
      <c r="B30" s="9" t="str">
        <f>INDEX(Matriz_Riesgos!$A$4:$A$34,MATCH($A30,Matriz_Riesgos!$R$4:$R$34,0))</f>
        <v>T19</v>
      </c>
      <c r="C30" s="15" t="str">
        <f>INDEX(Matriz_Riesgos!$C$4:$C$34,MATCH($B30,Matriz_Riesgos!$A$4:$A$34,0))</f>
        <v>DS03 Log Analytics / SIEM</v>
      </c>
      <c r="D30" s="9" t="str">
        <f>INDEX(Matriz_Riesgos!$D$4:$D$34,MATCH($B30,Matriz_Riesgos!$A$4:$A$34,0))</f>
        <v>Tampering</v>
      </c>
      <c r="E30" s="15" t="str">
        <f>INDEX(Matriz_Riesgos!$E$4:$E$34,MATCH($B30,Matriz_Riesgos!$A$4:$A$34,0))</f>
        <v>Manipulación o borrado de logs para ocultar actividad fraudulenta</v>
      </c>
      <c r="F30" s="9">
        <f>INDEX(Matriz_Riesgos!$J$4:$J$34,MATCH($B30,Matriz_Riesgos!$A$4:$A$34,0))</f>
        <v>3</v>
      </c>
      <c r="G30" s="9" t="str">
        <f>INDEX(Matriz_Riesgos!$K$4:$K$34,MATCH($B30,Matriz_Riesgos!$A$4:$A$34,0))</f>
        <v>Medio</v>
      </c>
      <c r="H30" s="7" t="str">
        <f t="shared" si="0"/>
        <v/>
      </c>
    </row>
    <row r="31" spans="1:8" x14ac:dyDescent="0.3">
      <c r="A31" s="7">
        <v>27</v>
      </c>
      <c r="B31" s="9" t="str">
        <f>INDEX(Matriz_Riesgos!$A$4:$A$34,MATCH($A31,Matriz_Riesgos!$R$4:$R$34,0))</f>
        <v>T20</v>
      </c>
      <c r="C31" s="15" t="str">
        <f>INDEX(Matriz_Riesgos!$C$4:$C$34,MATCH($B31,Matriz_Riesgos!$A$4:$A$34,0))</f>
        <v>DS01 Base de datos de D365</v>
      </c>
      <c r="D31" s="9" t="str">
        <f>INDEX(Matriz_Riesgos!$D$4:$D$34,MATCH($B31,Matriz_Riesgos!$A$4:$A$34,0))</f>
        <v>Denial of Service</v>
      </c>
      <c r="E31" s="15" t="str">
        <f>INDEX(Matriz_Riesgos!$E$4:$E$34,MATCH($B31,Matriz_Riesgos!$A$4:$A$34,0))</f>
        <v>Pérdida o corrupción de datos sin recuperación oportuna</v>
      </c>
      <c r="F31" s="9">
        <f>INDEX(Matriz_Riesgos!$J$4:$J$34,MATCH($B31,Matriz_Riesgos!$A$4:$A$34,0))</f>
        <v>3</v>
      </c>
      <c r="G31" s="9" t="str">
        <f>INDEX(Matriz_Riesgos!$K$4:$K$34,MATCH($B31,Matriz_Riesgos!$A$4:$A$34,0))</f>
        <v>Medio</v>
      </c>
      <c r="H31" s="7" t="str">
        <f t="shared" si="0"/>
        <v/>
      </c>
    </row>
    <row r="32" spans="1:8" x14ac:dyDescent="0.3">
      <c r="A32" s="7">
        <v>28</v>
      </c>
      <c r="B32" s="9" t="str">
        <f>INDEX(Matriz_Riesgos!$A$4:$A$34,MATCH($A32,Matriz_Riesgos!$R$4:$R$34,0))</f>
        <v>T29</v>
      </c>
      <c r="C32" s="15" t="str">
        <f>INDEX(Matriz_Riesgos!$C$4:$C$34,MATCH($B32,Matriz_Riesgos!$A$4:$A$34,0))</f>
        <v>DS05 Almacenamiento temporal (Blob)</v>
      </c>
      <c r="D32" s="9" t="str">
        <f>INDEX(Matriz_Riesgos!$D$4:$D$34,MATCH($B32,Matriz_Riesgos!$A$4:$A$34,0))</f>
        <v>Tampering</v>
      </c>
      <c r="E32" s="15" t="str">
        <f>INDEX(Matriz_Riesgos!$E$4:$E$34,MATCH($B32,Matriz_Riesgos!$A$4:$A$34,0))</f>
        <v>Alteración de extractos bancarios en el almacenamiento temporal</v>
      </c>
      <c r="F32" s="9">
        <f>INDEX(Matriz_Riesgos!$J$4:$J$34,MATCH($B32,Matriz_Riesgos!$A$4:$A$34,0))</f>
        <v>3</v>
      </c>
      <c r="G32" s="9" t="str">
        <f>INDEX(Matriz_Riesgos!$K$4:$K$34,MATCH($B32,Matriz_Riesgos!$A$4:$A$34,0))</f>
        <v>Medio</v>
      </c>
      <c r="H32" s="7" t="str">
        <f t="shared" si="0"/>
        <v/>
      </c>
    </row>
    <row r="33" spans="1:8" ht="26.4" x14ac:dyDescent="0.3">
      <c r="A33" s="7">
        <v>29</v>
      </c>
      <c r="B33" s="9" t="str">
        <f>INDEX(Matriz_Riesgos!$A$4:$A$34,MATCH($A33,Matriz_Riesgos!$R$4:$R$34,0))</f>
        <v>T30</v>
      </c>
      <c r="C33" s="15" t="str">
        <f>INDEX(Matriz_Riesgos!$C$4:$C$34,MATCH($B33,Matriz_Riesgos!$A$4:$A$34,0))</f>
        <v>P04.4 Procesador de extractos y conciliación</v>
      </c>
      <c r="D33" s="9" t="str">
        <f>INDEX(Matriz_Riesgos!$D$4:$D$34,MATCH($B33,Matriz_Riesgos!$A$4:$A$34,0))</f>
        <v>Tampering</v>
      </c>
      <c r="E33" s="15" t="str">
        <f>INDEX(Matriz_Riesgos!$E$4:$E$34,MATCH($B33,Matriz_Riesgos!$A$4:$A$34,0))</f>
        <v>Reglas de conciliación débiles permiten ocultar pagos fraudulentos</v>
      </c>
      <c r="F33" s="9">
        <f>INDEX(Matriz_Riesgos!$J$4:$J$34,MATCH($B33,Matriz_Riesgos!$A$4:$A$34,0))</f>
        <v>3</v>
      </c>
      <c r="G33" s="9" t="str">
        <f>INDEX(Matriz_Riesgos!$K$4:$K$34,MATCH($B33,Matriz_Riesgos!$A$4:$A$34,0))</f>
        <v>Medio</v>
      </c>
      <c r="H33" s="7" t="str">
        <f t="shared" si="0"/>
        <v/>
      </c>
    </row>
    <row r="34" spans="1:8" x14ac:dyDescent="0.3">
      <c r="A34" s="7">
        <v>30</v>
      </c>
      <c r="B34" s="9" t="str">
        <f>INDEX(Matriz_Riesgos!$A$4:$A$34,MATCH($A34,Matriz_Riesgos!$R$4:$R$34,0))</f>
        <v>T17</v>
      </c>
      <c r="C34" s="15" t="str">
        <f>INDEX(Matriz_Riesgos!$C$4:$C$34,MATCH($B34,Matriz_Riesgos!$A$4:$A$34,0))</f>
        <v>DS04 Modelo semántico Power BI</v>
      </c>
      <c r="D34" s="9" t="str">
        <f>INDEX(Matriz_Riesgos!$D$4:$D$34,MATCH($B34,Matriz_Riesgos!$A$4:$A$34,0))</f>
        <v>Tampering</v>
      </c>
      <c r="E34" s="15" t="str">
        <f>INDEX(Matriz_Riesgos!$E$4:$E$34,MATCH($B34,Matriz_Riesgos!$A$4:$A$34,0))</f>
        <v>Alteración del modelo semántico que distorsiona reportes financieros</v>
      </c>
      <c r="F34" s="9">
        <f>INDEX(Matriz_Riesgos!$J$4:$J$34,MATCH($B34,Matriz_Riesgos!$A$4:$A$34,0))</f>
        <v>2</v>
      </c>
      <c r="G34" s="9" t="str">
        <f>INDEX(Matriz_Riesgos!$K$4:$K$34,MATCH($B34,Matriz_Riesgos!$A$4:$A$34,0))</f>
        <v>Bajo</v>
      </c>
      <c r="H34" s="7" t="str">
        <f t="shared" si="0"/>
        <v/>
      </c>
    </row>
    <row r="35" spans="1:8" x14ac:dyDescent="0.3">
      <c r="A35" s="7">
        <v>31</v>
      </c>
      <c r="B35" s="9" t="str">
        <f>INDEX(Matriz_Riesgos!$A$4:$A$34,MATCH($A35,Matriz_Riesgos!$R$4:$R$34,0))</f>
        <v>T21</v>
      </c>
      <c r="C35" s="15" t="str">
        <f>INDEX(Matriz_Riesgos!$C$4:$C$34,MATCH($B35,Matriz_Riesgos!$A$4:$A$34,0))</f>
        <v>EE05 Analista BI</v>
      </c>
      <c r="D35" s="9" t="str">
        <f>INDEX(Matriz_Riesgos!$D$4:$D$34,MATCH($B35,Matriz_Riesgos!$A$4:$A$34,0))</f>
        <v>Repudiation</v>
      </c>
      <c r="E35" s="15" t="str">
        <f>INDEX(Matriz_Riesgos!$E$4:$E$34,MATCH($B35,Matriz_Riesgos!$A$4:$A$34,0))</f>
        <v>El analista BI niega haber exportado o compartido informes</v>
      </c>
      <c r="F35" s="9">
        <f>INDEX(Matriz_Riesgos!$J$4:$J$34,MATCH($B35,Matriz_Riesgos!$A$4:$A$34,0))</f>
        <v>2</v>
      </c>
      <c r="G35" s="9" t="str">
        <f>INDEX(Matriz_Riesgos!$K$4:$K$34,MATCH($B35,Matriz_Riesgos!$A$4:$A$34,0))</f>
        <v>Bajo</v>
      </c>
      <c r="H35" s="7" t="str">
        <f t="shared" si="0"/>
        <v/>
      </c>
    </row>
  </sheetData>
  <conditionalFormatting sqref="G5:G35">
    <cfRule type="cellIs" dxfId="7" priority="2" operator="equal">
      <formula>"Crítico"</formula>
    </cfRule>
    <cfRule type="cellIs" dxfId="6" priority="3" operator="equal">
      <formula>"Alto"</formula>
    </cfRule>
    <cfRule type="cellIs" dxfId="5" priority="4" operator="equal">
      <formula>"Medio"</formula>
    </cfRule>
    <cfRule type="cellIs" dxfId="4" priority="5" operator="equal">
      <formula>"Bajo"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6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6" sqref="A6"/>
    </sheetView>
  </sheetViews>
  <sheetFormatPr baseColWidth="10" defaultColWidth="8.6640625" defaultRowHeight="14.4" x14ac:dyDescent="0.3"/>
  <cols>
    <col min="1" max="1" width="7" customWidth="1"/>
    <col min="2" max="2" width="52" customWidth="1"/>
    <col min="3" max="3" width="12" customWidth="1"/>
    <col min="4" max="4" width="9" customWidth="1"/>
    <col min="5" max="5" width="30" customWidth="1"/>
    <col min="6" max="6" width="70" customWidth="1"/>
    <col min="7" max="7" width="26" customWidth="1"/>
    <col min="8" max="9" width="14" customWidth="1"/>
    <col min="10" max="10" width="9" customWidth="1"/>
  </cols>
  <sheetData>
    <row r="1" spans="1:10" ht="17.399999999999999" x14ac:dyDescent="0.3">
      <c r="A1" s="1" t="s">
        <v>150</v>
      </c>
    </row>
    <row r="2" spans="1:10" x14ac:dyDescent="0.3">
      <c r="A2" s="2" t="s">
        <v>151</v>
      </c>
    </row>
    <row r="5" spans="1:10" x14ac:dyDescent="0.3">
      <c r="A5" s="3" t="s">
        <v>35</v>
      </c>
      <c r="B5" s="3" t="s">
        <v>152</v>
      </c>
      <c r="C5" s="3" t="s">
        <v>153</v>
      </c>
      <c r="D5" s="3" t="s">
        <v>42</v>
      </c>
      <c r="E5" s="3" t="s">
        <v>154</v>
      </c>
      <c r="F5" s="3" t="s">
        <v>155</v>
      </c>
      <c r="G5" s="3" t="s">
        <v>28</v>
      </c>
      <c r="H5" s="3" t="s">
        <v>156</v>
      </c>
      <c r="I5" s="3" t="s">
        <v>157</v>
      </c>
      <c r="J5" s="3" t="s">
        <v>48</v>
      </c>
    </row>
    <row r="6" spans="1:10" ht="39.6" x14ac:dyDescent="0.3">
      <c r="A6" s="7" t="s">
        <v>49</v>
      </c>
      <c r="B6" s="5" t="s">
        <v>53</v>
      </c>
      <c r="C6" s="16" t="str">
        <f>INDEX(Matriz_Riesgos!$K$4:$K$34,MATCH($A6,Matriz_Riesgos!$A$4:$A$34,0))</f>
        <v>Crítico</v>
      </c>
      <c r="D6" s="9">
        <f>INDEX(Matriz_Riesgos!$J$4:$J$34,MATCH($A6,Matriz_Riesgos!$A$4:$A$34,0))</f>
        <v>12</v>
      </c>
      <c r="E6" s="19" t="s">
        <v>158</v>
      </c>
      <c r="F6" s="19" t="s">
        <v>159</v>
      </c>
      <c r="G6" s="20" t="s">
        <v>30</v>
      </c>
      <c r="H6" s="21">
        <v>46395</v>
      </c>
      <c r="I6" s="20" t="s">
        <v>160</v>
      </c>
      <c r="J6" s="9">
        <f>INDEX(Matriz_Riesgos!$R$4:$R$34,MATCH($A6,Matriz_Riesgos!$A$4:$A$34,0))</f>
        <v>1</v>
      </c>
    </row>
    <row r="7" spans="1:10" ht="26.4" x14ac:dyDescent="0.3">
      <c r="A7" s="7" t="s">
        <v>57</v>
      </c>
      <c r="B7" s="5" t="s">
        <v>60</v>
      </c>
      <c r="C7" s="16" t="str">
        <f>INDEX(Matriz_Riesgos!$K$4:$K$34,MATCH($A7,Matriz_Riesgos!$A$4:$A$34,0))</f>
        <v>Crítico</v>
      </c>
      <c r="D7" s="9">
        <f>INDEX(Matriz_Riesgos!$J$4:$J$34,MATCH($A7,Matriz_Riesgos!$A$4:$A$34,0))</f>
        <v>12</v>
      </c>
      <c r="E7" s="19" t="s">
        <v>161</v>
      </c>
      <c r="F7" s="19" t="s">
        <v>162</v>
      </c>
      <c r="G7" s="20" t="s">
        <v>30</v>
      </c>
      <c r="H7" s="21">
        <v>46395</v>
      </c>
      <c r="I7" s="20" t="s">
        <v>160</v>
      </c>
      <c r="J7" s="9">
        <f>INDEX(Matriz_Riesgos!$R$4:$R$34,MATCH($A7,Matriz_Riesgos!$A$4:$A$34,0))</f>
        <v>2</v>
      </c>
    </row>
    <row r="8" spans="1:10" ht="39.6" x14ac:dyDescent="0.3">
      <c r="A8" s="7" t="s">
        <v>63</v>
      </c>
      <c r="B8" s="5" t="s">
        <v>66</v>
      </c>
      <c r="C8" s="16" t="str">
        <f>INDEX(Matriz_Riesgos!$K$4:$K$34,MATCH($A8,Matriz_Riesgos!$A$4:$A$34,0))</f>
        <v>Crítico</v>
      </c>
      <c r="D8" s="9">
        <f>INDEX(Matriz_Riesgos!$J$4:$J$34,MATCH($A8,Matriz_Riesgos!$A$4:$A$34,0))</f>
        <v>12</v>
      </c>
      <c r="E8" s="19" t="s">
        <v>163</v>
      </c>
      <c r="F8" s="19" t="s">
        <v>164</v>
      </c>
      <c r="G8" s="20" t="s">
        <v>30</v>
      </c>
      <c r="H8" s="21">
        <v>46395</v>
      </c>
      <c r="I8" s="20" t="s">
        <v>160</v>
      </c>
      <c r="J8" s="9">
        <f>INDEX(Matriz_Riesgos!$R$4:$R$34,MATCH($A8,Matriz_Riesgos!$A$4:$A$34,0))</f>
        <v>3</v>
      </c>
    </row>
    <row r="9" spans="1:10" ht="26.4" x14ac:dyDescent="0.3">
      <c r="A9" s="7" t="s">
        <v>54</v>
      </c>
      <c r="B9" s="5" t="s">
        <v>56</v>
      </c>
      <c r="C9" s="16" t="str">
        <f>INDEX(Matriz_Riesgos!$K$4:$K$34,MATCH($A9,Matriz_Riesgos!$A$4:$A$34,0))</f>
        <v>Crítico</v>
      </c>
      <c r="D9" s="9">
        <f>INDEX(Matriz_Riesgos!$J$4:$J$34,MATCH($A9,Matriz_Riesgos!$A$4:$A$34,0))</f>
        <v>9</v>
      </c>
      <c r="E9" s="19" t="s">
        <v>163</v>
      </c>
      <c r="F9" s="19" t="s">
        <v>165</v>
      </c>
      <c r="G9" s="20" t="s">
        <v>30</v>
      </c>
      <c r="H9" s="21">
        <v>46395</v>
      </c>
      <c r="I9" s="20" t="s">
        <v>160</v>
      </c>
      <c r="J9" s="9">
        <f>INDEX(Matriz_Riesgos!$R$4:$R$34,MATCH($A9,Matriz_Riesgos!$A$4:$A$34,0))</f>
        <v>4</v>
      </c>
    </row>
    <row r="10" spans="1:10" ht="26.4" x14ac:dyDescent="0.3">
      <c r="A10" s="7" t="s">
        <v>80</v>
      </c>
      <c r="B10" s="5" t="s">
        <v>82</v>
      </c>
      <c r="C10" s="16" t="str">
        <f>INDEX(Matriz_Riesgos!$K$4:$K$34,MATCH($A10,Matriz_Riesgos!$A$4:$A$34,0))</f>
        <v>Crítico</v>
      </c>
      <c r="D10" s="9">
        <f>INDEX(Matriz_Riesgos!$J$4:$J$34,MATCH($A10,Matriz_Riesgos!$A$4:$A$34,0))</f>
        <v>9</v>
      </c>
      <c r="E10" s="19" t="s">
        <v>166</v>
      </c>
      <c r="F10" s="19" t="s">
        <v>167</v>
      </c>
      <c r="G10" s="20" t="s">
        <v>30</v>
      </c>
      <c r="H10" s="21">
        <v>46395</v>
      </c>
      <c r="I10" s="20" t="s">
        <v>160</v>
      </c>
      <c r="J10" s="9">
        <f>INDEX(Matriz_Riesgos!$R$4:$R$34,MATCH($A10,Matriz_Riesgos!$A$4:$A$34,0))</f>
        <v>5</v>
      </c>
    </row>
    <row r="11" spans="1:10" ht="26.4" x14ac:dyDescent="0.3">
      <c r="A11" s="7" t="s">
        <v>122</v>
      </c>
      <c r="B11" s="5" t="s">
        <v>124</v>
      </c>
      <c r="C11" s="16" t="str">
        <f>INDEX(Matriz_Riesgos!$K$4:$K$34,MATCH($A11,Matriz_Riesgos!$A$4:$A$34,0))</f>
        <v>Crítico</v>
      </c>
      <c r="D11" s="9">
        <f>INDEX(Matriz_Riesgos!$J$4:$J$34,MATCH($A11,Matriz_Riesgos!$A$4:$A$34,0))</f>
        <v>9</v>
      </c>
      <c r="E11" s="19" t="s">
        <v>168</v>
      </c>
      <c r="F11" s="19" t="s">
        <v>169</v>
      </c>
      <c r="G11" s="20" t="s">
        <v>30</v>
      </c>
      <c r="H11" s="21">
        <v>46395</v>
      </c>
      <c r="I11" s="20" t="s">
        <v>160</v>
      </c>
      <c r="J11" s="9">
        <f>INDEX(Matriz_Riesgos!$R$4:$R$34,MATCH($A11,Matriz_Riesgos!$A$4:$A$34,0))</f>
        <v>6</v>
      </c>
    </row>
    <row r="12" spans="1:10" ht="39.6" x14ac:dyDescent="0.3">
      <c r="A12" s="7" t="s">
        <v>61</v>
      </c>
      <c r="B12" s="5" t="s">
        <v>62</v>
      </c>
      <c r="C12" s="16" t="str">
        <f>INDEX(Matriz_Riesgos!$K$4:$K$34,MATCH($A12,Matriz_Riesgos!$A$4:$A$34,0))</f>
        <v>Alto</v>
      </c>
      <c r="D12" s="9">
        <f>INDEX(Matriz_Riesgos!$J$4:$J$34,MATCH($A12,Matriz_Riesgos!$A$4:$A$34,0))</f>
        <v>8</v>
      </c>
      <c r="E12" s="19" t="s">
        <v>158</v>
      </c>
      <c r="F12" s="19" t="s">
        <v>170</v>
      </c>
      <c r="G12" s="20" t="s">
        <v>30</v>
      </c>
      <c r="H12" s="21">
        <v>46395</v>
      </c>
      <c r="I12" s="20" t="s">
        <v>160</v>
      </c>
      <c r="J12" s="9">
        <f>INDEX(Matriz_Riesgos!$R$4:$R$34,MATCH($A12,Matriz_Riesgos!$A$4:$A$34,0))</f>
        <v>7</v>
      </c>
    </row>
    <row r="13" spans="1:10" ht="26.4" x14ac:dyDescent="0.3">
      <c r="A13" s="7" t="s">
        <v>112</v>
      </c>
      <c r="B13" s="5" t="s">
        <v>115</v>
      </c>
      <c r="C13" s="16" t="str">
        <f>INDEX(Matriz_Riesgos!$K$4:$K$34,MATCH($A13,Matriz_Riesgos!$A$4:$A$34,0))</f>
        <v>Alto</v>
      </c>
      <c r="D13" s="9">
        <f>INDEX(Matriz_Riesgos!$J$4:$J$34,MATCH($A13,Matriz_Riesgos!$A$4:$A$34,0))</f>
        <v>8</v>
      </c>
      <c r="E13" s="19" t="s">
        <v>171</v>
      </c>
      <c r="F13" s="19" t="s">
        <v>172</v>
      </c>
      <c r="G13" s="20" t="s">
        <v>30</v>
      </c>
      <c r="H13" s="21">
        <v>46395</v>
      </c>
      <c r="I13" s="20" t="s">
        <v>160</v>
      </c>
      <c r="J13" s="9">
        <f>INDEX(Matriz_Riesgos!$R$4:$R$34,MATCH($A13,Matriz_Riesgos!$A$4:$A$34,0))</f>
        <v>8</v>
      </c>
    </row>
    <row r="14" spans="1:10" ht="26.4" x14ac:dyDescent="0.3">
      <c r="A14" s="7" t="s">
        <v>116</v>
      </c>
      <c r="B14" s="5" t="s">
        <v>118</v>
      </c>
      <c r="C14" s="16" t="str">
        <f>INDEX(Matriz_Riesgos!$K$4:$K$34,MATCH($A14,Matriz_Riesgos!$A$4:$A$34,0))</f>
        <v>Alto</v>
      </c>
      <c r="D14" s="9">
        <f>INDEX(Matriz_Riesgos!$J$4:$J$34,MATCH($A14,Matriz_Riesgos!$A$4:$A$34,0))</f>
        <v>8</v>
      </c>
      <c r="E14" s="19" t="s">
        <v>168</v>
      </c>
      <c r="F14" s="19" t="s">
        <v>173</v>
      </c>
      <c r="G14" s="20" t="s">
        <v>30</v>
      </c>
      <c r="H14" s="21">
        <v>46395</v>
      </c>
      <c r="I14" s="20" t="s">
        <v>160</v>
      </c>
      <c r="J14" s="9">
        <f>INDEX(Matriz_Riesgos!$R$4:$R$34,MATCH($A14,Matriz_Riesgos!$A$4:$A$34,0))</f>
        <v>9</v>
      </c>
    </row>
    <row r="15" spans="1:10" ht="26.4" x14ac:dyDescent="0.3">
      <c r="A15" s="7" t="s">
        <v>119</v>
      </c>
      <c r="B15" s="5" t="s">
        <v>121</v>
      </c>
      <c r="C15" s="16" t="str">
        <f>INDEX(Matriz_Riesgos!$K$4:$K$34,MATCH($A15,Matriz_Riesgos!$A$4:$A$34,0))</f>
        <v>Alto</v>
      </c>
      <c r="D15" s="9">
        <f>INDEX(Matriz_Riesgos!$J$4:$J$34,MATCH($A15,Matriz_Riesgos!$A$4:$A$34,0))</f>
        <v>8</v>
      </c>
      <c r="E15" s="19" t="s">
        <v>168</v>
      </c>
      <c r="F15" s="19" t="s">
        <v>174</v>
      </c>
      <c r="G15" s="20" t="s">
        <v>30</v>
      </c>
      <c r="H15" s="21">
        <v>46395</v>
      </c>
      <c r="I15" s="20" t="s">
        <v>160</v>
      </c>
      <c r="J15" s="9">
        <f>INDEX(Matriz_Riesgos!$R$4:$R$34,MATCH($A15,Matriz_Riesgos!$A$4:$A$34,0))</f>
        <v>10</v>
      </c>
    </row>
    <row r="16" spans="1:10" ht="26.4" x14ac:dyDescent="0.3">
      <c r="A16" s="7" t="s">
        <v>83</v>
      </c>
      <c r="B16" s="5" t="s">
        <v>85</v>
      </c>
      <c r="C16" s="16" t="str">
        <f>INDEX(Matriz_Riesgos!$K$4:$K$34,MATCH($A16,Matriz_Riesgos!$A$4:$A$34,0))</f>
        <v>Alto</v>
      </c>
      <c r="D16" s="9">
        <f>INDEX(Matriz_Riesgos!$J$4:$J$34,MATCH($A16,Matriz_Riesgos!$A$4:$A$34,0))</f>
        <v>8</v>
      </c>
      <c r="E16" s="19" t="s">
        <v>175</v>
      </c>
      <c r="F16" s="19" t="s">
        <v>176</v>
      </c>
      <c r="G16" s="20" t="s">
        <v>30</v>
      </c>
      <c r="H16" s="21">
        <v>46395</v>
      </c>
      <c r="I16" s="20" t="s">
        <v>160</v>
      </c>
      <c r="J16" s="9">
        <f>INDEX(Matriz_Riesgos!$R$4:$R$34,MATCH($A16,Matriz_Riesgos!$A$4:$A$34,0))</f>
        <v>12</v>
      </c>
    </row>
    <row r="17" spans="1:10" ht="26.4" x14ac:dyDescent="0.3">
      <c r="A17" s="7" t="s">
        <v>125</v>
      </c>
      <c r="B17" s="5" t="s">
        <v>126</v>
      </c>
      <c r="C17" s="16" t="str">
        <f>INDEX(Matriz_Riesgos!$K$4:$K$34,MATCH($A17,Matriz_Riesgos!$A$4:$A$34,0))</f>
        <v>Alto</v>
      </c>
      <c r="D17" s="9">
        <f>INDEX(Matriz_Riesgos!$J$4:$J$34,MATCH($A17,Matriz_Riesgos!$A$4:$A$34,0))</f>
        <v>8</v>
      </c>
      <c r="E17" s="19" t="s">
        <v>175</v>
      </c>
      <c r="F17" s="19" t="s">
        <v>177</v>
      </c>
      <c r="G17" s="20" t="s">
        <v>30</v>
      </c>
      <c r="H17" s="21">
        <v>46395</v>
      </c>
      <c r="I17" s="20" t="s">
        <v>160</v>
      </c>
      <c r="J17" s="9">
        <f>INDEX(Matriz_Riesgos!$R$4:$R$34,MATCH($A17,Matriz_Riesgos!$A$4:$A$34,0))</f>
        <v>13</v>
      </c>
    </row>
    <row r="18" spans="1:10" ht="26.4" x14ac:dyDescent="0.3">
      <c r="A18" s="7" t="s">
        <v>92</v>
      </c>
      <c r="B18" s="5" t="s">
        <v>93</v>
      </c>
      <c r="C18" s="16" t="str">
        <f>INDEX(Matriz_Riesgos!$K$4:$K$34,MATCH($A18,Matriz_Riesgos!$A$4:$A$34,0))</f>
        <v>Alto</v>
      </c>
      <c r="D18" s="9">
        <f>INDEX(Matriz_Riesgos!$J$4:$J$34,MATCH($A18,Matriz_Riesgos!$A$4:$A$34,0))</f>
        <v>6</v>
      </c>
      <c r="E18" s="19" t="s">
        <v>168</v>
      </c>
      <c r="F18" s="19" t="s">
        <v>178</v>
      </c>
      <c r="G18" s="20" t="s">
        <v>30</v>
      </c>
      <c r="H18" s="21">
        <v>46395</v>
      </c>
      <c r="I18" s="20" t="s">
        <v>160</v>
      </c>
      <c r="J18" s="9">
        <f>INDEX(Matriz_Riesgos!$R$4:$R$34,MATCH($A18,Matriz_Riesgos!$A$4:$A$34,0))</f>
        <v>18</v>
      </c>
    </row>
    <row r="19" spans="1:10" ht="39.6" x14ac:dyDescent="0.3">
      <c r="A19" s="7" t="s">
        <v>76</v>
      </c>
      <c r="B19" s="5" t="s">
        <v>79</v>
      </c>
      <c r="C19" s="16" t="str">
        <f>INDEX(Matriz_Riesgos!$K$4:$K$34,MATCH($A19,Matriz_Riesgos!$A$4:$A$34,0))</f>
        <v>Alto</v>
      </c>
      <c r="D19" s="9">
        <f>INDEX(Matriz_Riesgos!$J$4:$J$34,MATCH($A19,Matriz_Riesgos!$A$4:$A$34,0))</f>
        <v>8</v>
      </c>
      <c r="E19" s="19" t="s">
        <v>179</v>
      </c>
      <c r="F19" s="19" t="s">
        <v>180</v>
      </c>
      <c r="G19" s="20" t="s">
        <v>32</v>
      </c>
      <c r="H19" s="21">
        <v>46485</v>
      </c>
      <c r="I19" s="20" t="s">
        <v>160</v>
      </c>
      <c r="J19" s="9">
        <f>INDEX(Matriz_Riesgos!$R$4:$R$34,MATCH($A19,Matriz_Riesgos!$A$4:$A$34,0))</f>
        <v>11</v>
      </c>
    </row>
    <row r="20" spans="1:10" ht="26.4" x14ac:dyDescent="0.3">
      <c r="A20" s="7" t="s">
        <v>67</v>
      </c>
      <c r="B20" s="5" t="s">
        <v>69</v>
      </c>
      <c r="C20" s="16" t="str">
        <f>INDEX(Matriz_Riesgos!$K$4:$K$34,MATCH($A20,Matriz_Riesgos!$A$4:$A$34,0))</f>
        <v>Alto</v>
      </c>
      <c r="D20" s="9">
        <f>INDEX(Matriz_Riesgos!$J$4:$J$34,MATCH($A20,Matriz_Riesgos!$A$4:$A$34,0))</f>
        <v>6</v>
      </c>
      <c r="E20" s="19" t="s">
        <v>181</v>
      </c>
      <c r="F20" s="19" t="s">
        <v>182</v>
      </c>
      <c r="G20" s="20" t="s">
        <v>32</v>
      </c>
      <c r="H20" s="21">
        <v>46485</v>
      </c>
      <c r="I20" s="20" t="s">
        <v>160</v>
      </c>
      <c r="J20" s="9">
        <f>INDEX(Matriz_Riesgos!$R$4:$R$34,MATCH($A20,Matriz_Riesgos!$A$4:$A$34,0))</f>
        <v>14</v>
      </c>
    </row>
    <row r="21" spans="1:10" ht="26.4" x14ac:dyDescent="0.3">
      <c r="A21" s="7" t="s">
        <v>70</v>
      </c>
      <c r="B21" s="5" t="s">
        <v>72</v>
      </c>
      <c r="C21" s="16" t="str">
        <f>INDEX(Matriz_Riesgos!$K$4:$K$34,MATCH($A21,Matriz_Riesgos!$A$4:$A$34,0))</f>
        <v>Alto</v>
      </c>
      <c r="D21" s="9">
        <f>INDEX(Matriz_Riesgos!$J$4:$J$34,MATCH($A21,Matriz_Riesgos!$A$4:$A$34,0))</f>
        <v>6</v>
      </c>
      <c r="E21" s="19" t="s">
        <v>183</v>
      </c>
      <c r="F21" s="19" t="s">
        <v>184</v>
      </c>
      <c r="G21" s="20" t="s">
        <v>32</v>
      </c>
      <c r="H21" s="21">
        <v>46485</v>
      </c>
      <c r="I21" s="20" t="s">
        <v>160</v>
      </c>
      <c r="J21" s="9">
        <f>INDEX(Matriz_Riesgos!$R$4:$R$34,MATCH($A21,Matriz_Riesgos!$A$4:$A$34,0))</f>
        <v>15</v>
      </c>
    </row>
    <row r="22" spans="1:10" ht="26.4" x14ac:dyDescent="0.3">
      <c r="A22" s="7" t="s">
        <v>86</v>
      </c>
      <c r="B22" s="5" t="s">
        <v>88</v>
      </c>
      <c r="C22" s="16" t="str">
        <f>INDEX(Matriz_Riesgos!$K$4:$K$34,MATCH($A22,Matriz_Riesgos!$A$4:$A$34,0))</f>
        <v>Alto</v>
      </c>
      <c r="D22" s="9">
        <f>INDEX(Matriz_Riesgos!$J$4:$J$34,MATCH($A22,Matriz_Riesgos!$A$4:$A$34,0))</f>
        <v>6</v>
      </c>
      <c r="E22" s="19" t="s">
        <v>185</v>
      </c>
      <c r="F22" s="19" t="s">
        <v>186</v>
      </c>
      <c r="G22" s="20" t="s">
        <v>32</v>
      </c>
      <c r="H22" s="21">
        <v>46485</v>
      </c>
      <c r="I22" s="20" t="s">
        <v>160</v>
      </c>
      <c r="J22" s="9">
        <f>INDEX(Matriz_Riesgos!$R$4:$R$34,MATCH($A22,Matriz_Riesgos!$A$4:$A$34,0))</f>
        <v>16</v>
      </c>
    </row>
    <row r="23" spans="1:10" ht="26.4" x14ac:dyDescent="0.3">
      <c r="A23" s="7" t="s">
        <v>89</v>
      </c>
      <c r="B23" s="5" t="s">
        <v>91</v>
      </c>
      <c r="C23" s="16" t="str">
        <f>INDEX(Matriz_Riesgos!$K$4:$K$34,MATCH($A23,Matriz_Riesgos!$A$4:$A$34,0))</f>
        <v>Alto</v>
      </c>
      <c r="D23" s="9">
        <f>INDEX(Matriz_Riesgos!$J$4:$J$34,MATCH($A23,Matriz_Riesgos!$A$4:$A$34,0))</f>
        <v>6</v>
      </c>
      <c r="E23" s="19" t="s">
        <v>168</v>
      </c>
      <c r="F23" s="19" t="s">
        <v>187</v>
      </c>
      <c r="G23" s="20" t="s">
        <v>32</v>
      </c>
      <c r="H23" s="21">
        <v>46485</v>
      </c>
      <c r="I23" s="20" t="s">
        <v>160</v>
      </c>
      <c r="J23" s="9">
        <f>INDEX(Matriz_Riesgos!$R$4:$R$34,MATCH($A23,Matriz_Riesgos!$A$4:$A$34,0))</f>
        <v>17</v>
      </c>
    </row>
    <row r="24" spans="1:10" ht="26.4" x14ac:dyDescent="0.3">
      <c r="A24" s="7" t="s">
        <v>130</v>
      </c>
      <c r="B24" s="5" t="s">
        <v>132</v>
      </c>
      <c r="C24" s="16" t="str">
        <f>INDEX(Matriz_Riesgos!$K$4:$K$34,MATCH($A24,Matriz_Riesgos!$A$4:$A$34,0))</f>
        <v>Alto</v>
      </c>
      <c r="D24" s="9">
        <f>INDEX(Matriz_Riesgos!$J$4:$J$34,MATCH($A24,Matriz_Riesgos!$A$4:$A$34,0))</f>
        <v>6</v>
      </c>
      <c r="E24" s="19" t="s">
        <v>188</v>
      </c>
      <c r="F24" s="19" t="s">
        <v>189</v>
      </c>
      <c r="G24" s="20" t="s">
        <v>32</v>
      </c>
      <c r="H24" s="21">
        <v>46485</v>
      </c>
      <c r="I24" s="20" t="s">
        <v>160</v>
      </c>
      <c r="J24" s="9">
        <f>INDEX(Matriz_Riesgos!$R$4:$R$34,MATCH($A24,Matriz_Riesgos!$A$4:$A$34,0))</f>
        <v>19</v>
      </c>
    </row>
    <row r="25" spans="1:10" ht="26.4" x14ac:dyDescent="0.3">
      <c r="A25" s="7" t="s">
        <v>97</v>
      </c>
      <c r="B25" s="5" t="s">
        <v>98</v>
      </c>
      <c r="C25" s="16" t="str">
        <f>INDEX(Matriz_Riesgos!$K$4:$K$34,MATCH($A25,Matriz_Riesgos!$A$4:$A$34,0))</f>
        <v>Medio</v>
      </c>
      <c r="D25" s="9">
        <f>INDEX(Matriz_Riesgos!$J$4:$J$34,MATCH($A25,Matriz_Riesgos!$A$4:$A$34,0))</f>
        <v>4</v>
      </c>
      <c r="E25" s="19" t="s">
        <v>158</v>
      </c>
      <c r="F25" s="19" t="s">
        <v>190</v>
      </c>
      <c r="G25" s="20" t="s">
        <v>32</v>
      </c>
      <c r="H25" s="21">
        <v>46485</v>
      </c>
      <c r="I25" s="20" t="s">
        <v>160</v>
      </c>
      <c r="J25" s="9">
        <f>INDEX(Matriz_Riesgos!$R$4:$R$34,MATCH($A25,Matriz_Riesgos!$A$4:$A$34,0))</f>
        <v>21</v>
      </c>
    </row>
    <row r="26" spans="1:10" ht="26.4" x14ac:dyDescent="0.3">
      <c r="A26" s="7" t="s">
        <v>102</v>
      </c>
      <c r="B26" s="5" t="s">
        <v>104</v>
      </c>
      <c r="C26" s="16" t="str">
        <f>INDEX(Matriz_Riesgos!$K$4:$K$34,MATCH($A26,Matriz_Riesgos!$A$4:$A$34,0))</f>
        <v>Medio</v>
      </c>
      <c r="D26" s="9">
        <f>INDEX(Matriz_Riesgos!$J$4:$J$34,MATCH($A26,Matriz_Riesgos!$A$4:$A$34,0))</f>
        <v>4</v>
      </c>
      <c r="E26" s="19" t="s">
        <v>191</v>
      </c>
      <c r="F26" s="19" t="s">
        <v>192</v>
      </c>
      <c r="G26" s="20" t="s">
        <v>32</v>
      </c>
      <c r="H26" s="21">
        <v>46485</v>
      </c>
      <c r="I26" s="20" t="s">
        <v>160</v>
      </c>
      <c r="J26" s="9">
        <f>INDEX(Matriz_Riesgos!$R$4:$R$34,MATCH($A26,Matriz_Riesgos!$A$4:$A$34,0))</f>
        <v>22</v>
      </c>
    </row>
    <row r="27" spans="1:10" ht="26.4" x14ac:dyDescent="0.3">
      <c r="A27" s="7" t="s">
        <v>127</v>
      </c>
      <c r="B27" s="5" t="s">
        <v>129</v>
      </c>
      <c r="C27" s="16" t="str">
        <f>INDEX(Matriz_Riesgos!$K$4:$K$34,MATCH($A27,Matriz_Riesgos!$A$4:$A$34,0))</f>
        <v>Medio</v>
      </c>
      <c r="D27" s="9">
        <f>INDEX(Matriz_Riesgos!$J$4:$J$34,MATCH($A27,Matriz_Riesgos!$A$4:$A$34,0))</f>
        <v>4</v>
      </c>
      <c r="E27" s="19" t="s">
        <v>171</v>
      </c>
      <c r="F27" s="19" t="s">
        <v>193</v>
      </c>
      <c r="G27" s="20" t="s">
        <v>32</v>
      </c>
      <c r="H27" s="21">
        <v>46485</v>
      </c>
      <c r="I27" s="20" t="s">
        <v>160</v>
      </c>
      <c r="J27" s="9">
        <f>INDEX(Matriz_Riesgos!$R$4:$R$34,MATCH($A27,Matriz_Riesgos!$A$4:$A$34,0))</f>
        <v>23</v>
      </c>
    </row>
    <row r="28" spans="1:10" x14ac:dyDescent="0.3">
      <c r="A28" s="7" t="s">
        <v>139</v>
      </c>
      <c r="B28" s="5" t="s">
        <v>140</v>
      </c>
      <c r="C28" s="16" t="str">
        <f>INDEX(Matriz_Riesgos!$K$4:$K$34,MATCH($A28,Matriz_Riesgos!$A$4:$A$34,0))</f>
        <v>Medio</v>
      </c>
      <c r="D28" s="9">
        <f>INDEX(Matriz_Riesgos!$J$4:$J$34,MATCH($A28,Matriz_Riesgos!$A$4:$A$34,0))</f>
        <v>4</v>
      </c>
      <c r="E28" s="19" t="s">
        <v>168</v>
      </c>
      <c r="F28" s="19" t="s">
        <v>194</v>
      </c>
      <c r="G28" s="20" t="s">
        <v>32</v>
      </c>
      <c r="H28" s="21">
        <v>46485</v>
      </c>
      <c r="I28" s="20" t="s">
        <v>160</v>
      </c>
      <c r="J28" s="9">
        <f>INDEX(Matriz_Riesgos!$R$4:$R$34,MATCH($A28,Matriz_Riesgos!$A$4:$A$34,0))</f>
        <v>24</v>
      </c>
    </row>
    <row r="29" spans="1:10" ht="26.4" x14ac:dyDescent="0.3">
      <c r="A29" s="7" t="s">
        <v>105</v>
      </c>
      <c r="B29" s="5" t="s">
        <v>106</v>
      </c>
      <c r="C29" s="16" t="str">
        <f>INDEX(Matriz_Riesgos!$K$4:$K$34,MATCH($A29,Matriz_Riesgos!$A$4:$A$34,0))</f>
        <v>Medio</v>
      </c>
      <c r="D29" s="9">
        <f>INDEX(Matriz_Riesgos!$J$4:$J$34,MATCH($A29,Matriz_Riesgos!$A$4:$A$34,0))</f>
        <v>3</v>
      </c>
      <c r="E29" s="19" t="s">
        <v>191</v>
      </c>
      <c r="F29" s="19" t="s">
        <v>195</v>
      </c>
      <c r="G29" s="20" t="s">
        <v>32</v>
      </c>
      <c r="H29" s="21">
        <v>46485</v>
      </c>
      <c r="I29" s="20" t="s">
        <v>160</v>
      </c>
      <c r="J29" s="9">
        <f>INDEX(Matriz_Riesgos!$R$4:$R$34,MATCH($A29,Matriz_Riesgos!$A$4:$A$34,0))</f>
        <v>26</v>
      </c>
    </row>
    <row r="30" spans="1:10" ht="26.4" x14ac:dyDescent="0.3">
      <c r="A30" s="7" t="s">
        <v>136</v>
      </c>
      <c r="B30" s="5" t="s">
        <v>138</v>
      </c>
      <c r="C30" s="16" t="str">
        <f>INDEX(Matriz_Riesgos!$K$4:$K$34,MATCH($A30,Matriz_Riesgos!$A$4:$A$34,0))</f>
        <v>Medio</v>
      </c>
      <c r="D30" s="9">
        <f>INDEX(Matriz_Riesgos!$J$4:$J$34,MATCH($A30,Matriz_Riesgos!$A$4:$A$34,0))</f>
        <v>3</v>
      </c>
      <c r="E30" s="19" t="s">
        <v>196</v>
      </c>
      <c r="F30" s="19" t="s">
        <v>197</v>
      </c>
      <c r="G30" s="20" t="s">
        <v>32</v>
      </c>
      <c r="H30" s="21">
        <v>46485</v>
      </c>
      <c r="I30" s="20" t="s">
        <v>160</v>
      </c>
      <c r="J30" s="9">
        <f>INDEX(Matriz_Riesgos!$R$4:$R$34,MATCH($A30,Matriz_Riesgos!$A$4:$A$34,0))</f>
        <v>29</v>
      </c>
    </row>
    <row r="31" spans="1:10" ht="26.4" x14ac:dyDescent="0.3">
      <c r="A31" s="7" t="s">
        <v>94</v>
      </c>
      <c r="B31" s="5" t="s">
        <v>96</v>
      </c>
      <c r="C31" s="16" t="str">
        <f>INDEX(Matriz_Riesgos!$K$4:$K$34,MATCH($A31,Matriz_Riesgos!$A$4:$A$34,0))</f>
        <v>Medio</v>
      </c>
      <c r="D31" s="9">
        <f>INDEX(Matriz_Riesgos!$J$4:$J$34,MATCH($A31,Matriz_Riesgos!$A$4:$A$34,0))</f>
        <v>4</v>
      </c>
      <c r="E31" s="19" t="s">
        <v>198</v>
      </c>
      <c r="F31" s="19" t="s">
        <v>199</v>
      </c>
      <c r="G31" s="20" t="s">
        <v>33</v>
      </c>
      <c r="H31" s="21">
        <v>46668</v>
      </c>
      <c r="I31" s="20" t="s">
        <v>160</v>
      </c>
      <c r="J31" s="9">
        <f>INDEX(Matriz_Riesgos!$R$4:$R$34,MATCH($A31,Matriz_Riesgos!$A$4:$A$34,0))</f>
        <v>20</v>
      </c>
    </row>
    <row r="32" spans="1:10" ht="26.4" x14ac:dyDescent="0.3">
      <c r="A32" s="7" t="s">
        <v>73</v>
      </c>
      <c r="B32" s="5" t="s">
        <v>75</v>
      </c>
      <c r="C32" s="16" t="str">
        <f>INDEX(Matriz_Riesgos!$K$4:$K$34,MATCH($A32,Matriz_Riesgos!$A$4:$A$34,0))</f>
        <v>Medio</v>
      </c>
      <c r="D32" s="9">
        <f>INDEX(Matriz_Riesgos!$J$4:$J$34,MATCH($A32,Matriz_Riesgos!$A$4:$A$34,0))</f>
        <v>3</v>
      </c>
      <c r="E32" s="19" t="s">
        <v>185</v>
      </c>
      <c r="F32" s="19" t="s">
        <v>200</v>
      </c>
      <c r="G32" s="20" t="s">
        <v>33</v>
      </c>
      <c r="H32" s="21">
        <v>46668</v>
      </c>
      <c r="I32" s="20" t="s">
        <v>160</v>
      </c>
      <c r="J32" s="9">
        <f>INDEX(Matriz_Riesgos!$R$4:$R$34,MATCH($A32,Matriz_Riesgos!$A$4:$A$34,0))</f>
        <v>25</v>
      </c>
    </row>
    <row r="33" spans="1:10" ht="26.4" x14ac:dyDescent="0.3">
      <c r="A33" s="7" t="s">
        <v>107</v>
      </c>
      <c r="B33" s="5" t="s">
        <v>108</v>
      </c>
      <c r="C33" s="16" t="str">
        <f>INDEX(Matriz_Riesgos!$K$4:$K$34,MATCH($A33,Matriz_Riesgos!$A$4:$A$34,0))</f>
        <v>Medio</v>
      </c>
      <c r="D33" s="9">
        <f>INDEX(Matriz_Riesgos!$J$4:$J$34,MATCH($A33,Matriz_Riesgos!$A$4:$A$34,0))</f>
        <v>3</v>
      </c>
      <c r="E33" s="19" t="s">
        <v>185</v>
      </c>
      <c r="F33" s="19" t="s">
        <v>201</v>
      </c>
      <c r="G33" s="20" t="s">
        <v>33</v>
      </c>
      <c r="H33" s="21">
        <v>46668</v>
      </c>
      <c r="I33" s="20" t="s">
        <v>160</v>
      </c>
      <c r="J33" s="9">
        <f>INDEX(Matriz_Riesgos!$R$4:$R$34,MATCH($A33,Matriz_Riesgos!$A$4:$A$34,0))</f>
        <v>27</v>
      </c>
    </row>
    <row r="34" spans="1:10" ht="26.4" x14ac:dyDescent="0.3">
      <c r="A34" s="7" t="s">
        <v>133</v>
      </c>
      <c r="B34" s="5" t="s">
        <v>135</v>
      </c>
      <c r="C34" s="16" t="str">
        <f>INDEX(Matriz_Riesgos!$K$4:$K$34,MATCH($A34,Matriz_Riesgos!$A$4:$A$34,0))</f>
        <v>Medio</v>
      </c>
      <c r="D34" s="9">
        <f>INDEX(Matriz_Riesgos!$J$4:$J$34,MATCH($A34,Matriz_Riesgos!$A$4:$A$34,0))</f>
        <v>3</v>
      </c>
      <c r="E34" s="19" t="s">
        <v>168</v>
      </c>
      <c r="F34" s="19" t="s">
        <v>202</v>
      </c>
      <c r="G34" s="20" t="s">
        <v>33</v>
      </c>
      <c r="H34" s="21">
        <v>46668</v>
      </c>
      <c r="I34" s="20" t="s">
        <v>160</v>
      </c>
      <c r="J34" s="9">
        <f>INDEX(Matriz_Riesgos!$R$4:$R$34,MATCH($A34,Matriz_Riesgos!$A$4:$A$34,0))</f>
        <v>28</v>
      </c>
    </row>
    <row r="35" spans="1:10" ht="26.4" x14ac:dyDescent="0.3">
      <c r="A35" s="7" t="s">
        <v>99</v>
      </c>
      <c r="B35" s="5" t="s">
        <v>101</v>
      </c>
      <c r="C35" s="16" t="str">
        <f>INDEX(Matriz_Riesgos!$K$4:$K$34,MATCH($A35,Matriz_Riesgos!$A$4:$A$34,0))</f>
        <v>Bajo</v>
      </c>
      <c r="D35" s="9">
        <f>INDEX(Matriz_Riesgos!$J$4:$J$34,MATCH($A35,Matriz_Riesgos!$A$4:$A$34,0))</f>
        <v>2</v>
      </c>
      <c r="E35" s="19" t="s">
        <v>166</v>
      </c>
      <c r="F35" s="19" t="s">
        <v>203</v>
      </c>
      <c r="G35" s="20" t="s">
        <v>33</v>
      </c>
      <c r="H35" s="21">
        <v>46668</v>
      </c>
      <c r="I35" s="20" t="s">
        <v>160</v>
      </c>
      <c r="J35" s="9">
        <f>INDEX(Matriz_Riesgos!$R$4:$R$34,MATCH($A35,Matriz_Riesgos!$A$4:$A$34,0))</f>
        <v>30</v>
      </c>
    </row>
    <row r="36" spans="1:10" x14ac:dyDescent="0.3">
      <c r="A36" s="7" t="s">
        <v>109</v>
      </c>
      <c r="B36" s="5" t="s">
        <v>111</v>
      </c>
      <c r="C36" s="16" t="str">
        <f>INDEX(Matriz_Riesgos!$K$4:$K$34,MATCH($A36,Matriz_Riesgos!$A$4:$A$34,0))</f>
        <v>Bajo</v>
      </c>
      <c r="D36" s="9">
        <f>INDEX(Matriz_Riesgos!$J$4:$J$34,MATCH($A36,Matriz_Riesgos!$A$4:$A$34,0))</f>
        <v>2</v>
      </c>
      <c r="E36" s="19" t="s">
        <v>166</v>
      </c>
      <c r="F36" s="19" t="s">
        <v>204</v>
      </c>
      <c r="G36" s="20" t="s">
        <v>33</v>
      </c>
      <c r="H36" s="21">
        <v>46668</v>
      </c>
      <c r="I36" s="20" t="s">
        <v>160</v>
      </c>
      <c r="J36" s="9">
        <f>INDEX(Matriz_Riesgos!$R$4:$R$34,MATCH($A36,Matriz_Riesgos!$A$4:$A$34,0))</f>
        <v>31</v>
      </c>
    </row>
  </sheetData>
  <autoFilter ref="A5:J36" xr:uid="{00000000-0009-0000-0000-000004000000}"/>
  <conditionalFormatting sqref="C6:C36">
    <cfRule type="cellIs" dxfId="3" priority="2" operator="equal">
      <formula>"Crítico"</formula>
    </cfRule>
    <cfRule type="cellIs" dxfId="2" priority="3" operator="equal">
      <formula>"Alto"</formula>
    </cfRule>
    <cfRule type="cellIs" dxfId="1" priority="4" operator="equal">
      <formula>"Medio"</formula>
    </cfRule>
    <cfRule type="cellIs" dxfId="0" priority="5" operator="equal">
      <formula>"Bajo"</formula>
    </cfRule>
  </conditionalFormatting>
  <dataValidations count="1">
    <dataValidation type="list" sqref="I6:I36" xr:uid="{00000000-0002-0000-0400-000001000000}">
      <formula1>"Pendiente,En curso,Completado,Riesgo aceptado"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0000000}">
          <x14:formula1>
            <xm:f>Parametros!$A$23:$A$25</xm:f>
          </x14:formula1>
          <x14:formula2>
            <xm:f>0</xm:f>
          </x14:formula2>
          <xm:sqref>G6:G36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8"/>
  <sheetViews>
    <sheetView zoomScaleNormal="100" workbookViewId="0">
      <selection activeCell="A5" sqref="A5"/>
    </sheetView>
  </sheetViews>
  <sheetFormatPr baseColWidth="10" defaultColWidth="8.6640625" defaultRowHeight="14.4" x14ac:dyDescent="0.3"/>
  <cols>
    <col min="1" max="1" width="28" customWidth="1"/>
    <col min="2" max="2" width="14" customWidth="1"/>
    <col min="3" max="7" width="9" customWidth="1"/>
    <col min="8" max="8" width="100" customWidth="1"/>
  </cols>
  <sheetData>
    <row r="1" spans="1:8" ht="17.399999999999999" x14ac:dyDescent="0.3">
      <c r="A1" s="1" t="s">
        <v>205</v>
      </c>
    </row>
    <row r="4" spans="1:8" x14ac:dyDescent="0.3">
      <c r="A4" s="3" t="s">
        <v>28</v>
      </c>
      <c r="B4" s="3" t="s">
        <v>29</v>
      </c>
      <c r="C4" s="3" t="s">
        <v>4</v>
      </c>
      <c r="D4" s="3" t="s">
        <v>6</v>
      </c>
      <c r="E4" s="3" t="s">
        <v>8</v>
      </c>
      <c r="F4" s="3" t="s">
        <v>10</v>
      </c>
      <c r="G4" s="3" t="s">
        <v>144</v>
      </c>
      <c r="H4" s="3" t="s">
        <v>206</v>
      </c>
    </row>
    <row r="5" spans="1:8" ht="79.5" customHeight="1" x14ac:dyDescent="0.3">
      <c r="A5" s="17" t="str">
        <f>Parametros!A23</f>
        <v>Corto plazo (0-3 meses)</v>
      </c>
      <c r="B5" s="18">
        <f>Parametros!B23</f>
        <v>46395</v>
      </c>
      <c r="C5" s="8">
        <f>COUNTIFS(Remediacion!$G$6:$G$36,$A5,Remediacion!$C$6:$C$36,C$4)</f>
        <v>6</v>
      </c>
      <c r="D5" s="8">
        <f>COUNTIFS(Remediacion!$G$6:$G$36,$A5,Remediacion!$C$6:$C$36,D$4)</f>
        <v>7</v>
      </c>
      <c r="E5" s="8">
        <f>COUNTIFS(Remediacion!$G$6:$G$36,$A5,Remediacion!$C$6:$C$36,E$4)</f>
        <v>0</v>
      </c>
      <c r="F5" s="8">
        <f>COUNTIFS(Remediacion!$G$6:$G$36,$A5,Remediacion!$C$6:$C$36,F$4)</f>
        <v>0</v>
      </c>
      <c r="G5" s="7">
        <f>SUM(C5:F5)</f>
        <v>13</v>
      </c>
      <c r="H5" s="5" t="s">
        <v>207</v>
      </c>
    </row>
    <row r="6" spans="1:8" ht="79.5" customHeight="1" x14ac:dyDescent="0.3">
      <c r="A6" s="17" t="str">
        <f>Parametros!A24</f>
        <v>Mediano plazo (3-6 meses)</v>
      </c>
      <c r="B6" s="18">
        <f>Parametros!B24</f>
        <v>46485</v>
      </c>
      <c r="C6" s="8">
        <f>COUNTIFS(Remediacion!$G$6:$G$36,$A6,Remediacion!$C$6:$C$36,C$4)</f>
        <v>0</v>
      </c>
      <c r="D6" s="8">
        <f>COUNTIFS(Remediacion!$G$6:$G$36,$A6,Remediacion!$C$6:$C$36,D$4)</f>
        <v>6</v>
      </c>
      <c r="E6" s="8">
        <f>COUNTIFS(Remediacion!$G$6:$G$36,$A6,Remediacion!$C$6:$C$36,E$4)</f>
        <v>6</v>
      </c>
      <c r="F6" s="8">
        <f>COUNTIFS(Remediacion!$G$6:$G$36,$A6,Remediacion!$C$6:$C$36,F$4)</f>
        <v>0</v>
      </c>
      <c r="G6" s="7">
        <f>SUM(C6:F6)</f>
        <v>12</v>
      </c>
      <c r="H6" s="5" t="s">
        <v>208</v>
      </c>
    </row>
    <row r="7" spans="1:8" ht="79.5" customHeight="1" x14ac:dyDescent="0.3">
      <c r="A7" s="17" t="str">
        <f>Parametros!A25</f>
        <v>Largo plazo (6-12 meses)</v>
      </c>
      <c r="B7" s="18">
        <f>Parametros!B25</f>
        <v>46668</v>
      </c>
      <c r="C7" s="8">
        <f>COUNTIFS(Remediacion!$G$6:$G$36,$A7,Remediacion!$C$6:$C$36,C$4)</f>
        <v>0</v>
      </c>
      <c r="D7" s="8">
        <f>COUNTIFS(Remediacion!$G$6:$G$36,$A7,Remediacion!$C$6:$C$36,D$4)</f>
        <v>0</v>
      </c>
      <c r="E7" s="8">
        <f>COUNTIFS(Remediacion!$G$6:$G$36,$A7,Remediacion!$C$6:$C$36,E$4)</f>
        <v>4</v>
      </c>
      <c r="F7" s="8">
        <f>COUNTIFS(Remediacion!$G$6:$G$36,$A7,Remediacion!$C$6:$C$36,F$4)</f>
        <v>2</v>
      </c>
      <c r="G7" s="7">
        <f>SUM(C7:F7)</f>
        <v>6</v>
      </c>
      <c r="H7" s="5" t="s">
        <v>209</v>
      </c>
    </row>
    <row r="8" spans="1:8" x14ac:dyDescent="0.3">
      <c r="A8" s="4" t="s">
        <v>144</v>
      </c>
      <c r="B8" s="5"/>
      <c r="C8" s="7">
        <f>SUM(C5:C7)</f>
        <v>6</v>
      </c>
      <c r="D8" s="7">
        <f>SUM(D5:D7)</f>
        <v>13</v>
      </c>
      <c r="E8" s="7">
        <f>SUM(E5:E7)</f>
        <v>10</v>
      </c>
      <c r="F8" s="7">
        <f>SUM(F5:F7)</f>
        <v>2</v>
      </c>
      <c r="G8" s="7">
        <f>SUM(G5:G7)</f>
        <v>31</v>
      </c>
      <c r="H8" s="5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Parametros</vt:lpstr>
      <vt:lpstr>Matriz_Riesgos</vt:lpstr>
      <vt:lpstr>Mapa_Calor</vt:lpstr>
      <vt:lpstr>Ranking</vt:lpstr>
      <vt:lpstr>Remediacion</vt:lpstr>
      <vt:lpstr>Roadmap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Billy</dc:creator>
  <dc:description/>
  <cp:lastModifiedBy>Billy Velasquez</cp:lastModifiedBy>
  <cp:revision>0</cp:revision>
  <dcterms:created xsi:type="dcterms:W3CDTF">2026-10-08T21:25:28Z</dcterms:created>
  <dcterms:modified xsi:type="dcterms:W3CDTF">2026-10-10T22:21:57Z</dcterms:modified>
  <dc:language>en-US</dc:language>
</cp:coreProperties>
</file>